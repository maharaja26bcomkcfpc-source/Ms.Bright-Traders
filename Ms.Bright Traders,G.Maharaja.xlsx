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." sheetId="1" r:id="rId4"/>
    <sheet state="visible" name="Journal entries." sheetId="2" r:id="rId5"/>
    <sheet state="visible" name="Ledger." sheetId="3" r:id="rId6"/>
    <sheet state="visible" name="Trial Balance." sheetId="4" r:id="rId7"/>
    <sheet state="visible" name="Trading account." sheetId="5" r:id="rId8"/>
    <sheet state="visible" name="P&amp;L." sheetId="6" r:id="rId9"/>
    <sheet state="visible" name="Balance Sheet." sheetId="7" r:id="rId10"/>
    <sheet state="visible" name="Ratio Analysis." sheetId="8" r:id="rId11"/>
  </sheets>
  <definedNames/>
  <calcPr/>
  <extLst>
    <ext uri="GoogleSheetsCustomDataVersion2">
      <go:sheetsCustomData xmlns:go="http://customooxmlschemas.google.com/" r:id="rId12" roundtripDataChecksum="Ml5Hfdbosdi7JCzyB7HD7nrmjXzcgA9NiN6vPgsZphQ="/>
    </ext>
  </extLst>
</workbook>
</file>

<file path=xl/sharedStrings.xml><?xml version="1.0" encoding="utf-8"?>
<sst xmlns="http://schemas.openxmlformats.org/spreadsheetml/2006/main" count="972" uniqueCount="468">
  <si>
    <t>The following are the balances extracted from the books of M/s Bright Traders as on 1 March 2026 and the transactions entered during the month of March 2026.</t>
  </si>
  <si>
    <t>In the Books of  M/s Bright Traders. Preparation of Ledger for the Month Ended 31st March 2026.</t>
  </si>
  <si>
    <t>In the Books of M/s Bright Traders.Preparation of Journal entries for the Month ended 31st March 2026.</t>
  </si>
  <si>
    <t>In the Books of M/s Bright traders.Preparation of Trial Balance as on 31st March 2026.</t>
  </si>
  <si>
    <t>From the following information, prepare:</t>
  </si>
  <si>
    <t>S.NO</t>
  </si>
  <si>
    <t>1. Journal Entries</t>
  </si>
  <si>
    <t>2. Ledger Accounts</t>
  </si>
  <si>
    <t>Date</t>
  </si>
  <si>
    <t>Dr.</t>
  </si>
  <si>
    <t>3. Trial Balance</t>
  </si>
  <si>
    <t>Particulars</t>
  </si>
  <si>
    <t>Capital A/c</t>
  </si>
  <si>
    <t>Debit ₹</t>
  </si>
  <si>
    <t>4. Trading Account</t>
  </si>
  <si>
    <t>Credit ₹</t>
  </si>
  <si>
    <t>5. Profit &amp; Loss Account</t>
  </si>
  <si>
    <t>Cr.</t>
  </si>
  <si>
    <t>6. Balance Sheet as on 31st March 2026</t>
  </si>
  <si>
    <t>L.F</t>
  </si>
  <si>
    <t>Debit₹</t>
  </si>
  <si>
    <t>Cash A/C</t>
  </si>
  <si>
    <t>J.F</t>
  </si>
  <si>
    <t>Opening Balances as on 1st March 2026</t>
  </si>
  <si>
    <t>Amount ₹</t>
  </si>
  <si>
    <t>Particular</t>
  </si>
  <si>
    <t>Amount (₹)</t>
  </si>
  <si>
    <t>Bank A/C</t>
  </si>
  <si>
    <t>Credit₹</t>
  </si>
  <si>
    <t>Cash in Hand</t>
  </si>
  <si>
    <t>To Ravi Traders A/c</t>
  </si>
  <si>
    <t>Purchases A/C</t>
  </si>
  <si>
    <t>Cash at Bank</t>
  </si>
  <si>
    <t>Manoj Stores A/C</t>
  </si>
  <si>
    <t>By Cash A/c</t>
  </si>
  <si>
    <t>Opening Stock</t>
  </si>
  <si>
    <t>Cash A/c</t>
  </si>
  <si>
    <t>To Siva Suppliers A/c</t>
  </si>
  <si>
    <t>Carriage Inwards A/C</t>
  </si>
  <si>
    <t>Furniture</t>
  </si>
  <si>
    <t>By Bank A/c</t>
  </si>
  <si>
    <t>Machinery</t>
  </si>
  <si>
    <t>Wages A/C</t>
  </si>
  <si>
    <t>To Bank Loan A/c</t>
  </si>
  <si>
    <t>By Opening Stock A/c</t>
  </si>
  <si>
    <t>Computer</t>
  </si>
  <si>
    <t>Sales Return A/C</t>
  </si>
  <si>
    <t>Bank A/c</t>
  </si>
  <si>
    <t>To Balance B/d</t>
  </si>
  <si>
    <t>Debtors – Manoj Stores</t>
  </si>
  <si>
    <t>By Furniture A/c</t>
  </si>
  <si>
    <t>Office Equipments A/C</t>
  </si>
  <si>
    <t>Debtors – Deepa Stores</t>
  </si>
  <si>
    <t>By Machinery A/c</t>
  </si>
  <si>
    <t>Salary A/C</t>
  </si>
  <si>
    <t>Creditors – Ravi Traders</t>
  </si>
  <si>
    <t>Opening Stock A/c</t>
  </si>
  <si>
    <t>Discount Allowed A/C</t>
  </si>
  <si>
    <t>By Computer A/c</t>
  </si>
  <si>
    <t>Creditors – Siva Suppliers</t>
  </si>
  <si>
    <t>Furniture A/c</t>
  </si>
  <si>
    <t>Capital</t>
  </si>
  <si>
    <t>By Manoj Stores A/c</t>
  </si>
  <si>
    <t>Machinery A/c</t>
  </si>
  <si>
    <t>Bank Loan</t>
  </si>
  <si>
    <t>Rent A/C</t>
  </si>
  <si>
    <t>By Deepa Stores A/</t>
  </si>
  <si>
    <t>Computer A/c</t>
  </si>
  <si>
    <t>Deepa Stores A/C</t>
  </si>
  <si>
    <t>Manoj Stores A/c</t>
  </si>
  <si>
    <t>Transactions for March 2026</t>
  </si>
  <si>
    <t>Deepa Stores A/c</t>
  </si>
  <si>
    <t>Transactions</t>
  </si>
  <si>
    <t xml:space="preserve">  To Ravi Traders A/c</t>
  </si>
  <si>
    <t>Monday, March 02, 2026</t>
  </si>
  <si>
    <t>Purchased goods from Ravi Traders on credit ₹1,10,000</t>
  </si>
  <si>
    <t xml:space="preserve">  To Siva Suppliers A/c</t>
  </si>
  <si>
    <t>Tuesday, March 03, 2026</t>
  </si>
  <si>
    <t>Purchased goods for cash ₹35,000</t>
  </si>
  <si>
    <t xml:space="preserve">  To Capital A/c</t>
  </si>
  <si>
    <t>Electricity Charges A/C</t>
  </si>
  <si>
    <t>Wednesday, March 04, 2026</t>
  </si>
  <si>
    <t>Sold goods to Manoj Stores on credit ₹1,60,000</t>
  </si>
  <si>
    <t xml:space="preserve">  To Bank loan A/c</t>
  </si>
  <si>
    <t>Drawings A/C</t>
  </si>
  <si>
    <t>Thursday, March 05, 2026</t>
  </si>
  <si>
    <t>Sold goods for cash ₹75,000</t>
  </si>
  <si>
    <t>Friday, March 06, 2026</t>
  </si>
  <si>
    <t>Insurance Premium A/C</t>
  </si>
  <si>
    <t>Paid carriage inward ₹4,500</t>
  </si>
  <si>
    <t>(Being opening balance introduced)</t>
  </si>
  <si>
    <t>Saturday, March 07, 2026</t>
  </si>
  <si>
    <t>Carriage Outwards A/C</t>
  </si>
  <si>
    <t>Paid wages ₹15,000</t>
  </si>
  <si>
    <t>Advertisement Expenses A/C</t>
  </si>
  <si>
    <t>Sunday, March 08, 2026</t>
  </si>
  <si>
    <t>Returned goods to Ravi Traders worth ₹12,000</t>
  </si>
  <si>
    <t>Monday, March 09, 2026</t>
  </si>
  <si>
    <t>Manoj Stores returned goods worth ₹10,000</t>
  </si>
  <si>
    <t>Miscellaneous Expenses A/C</t>
  </si>
  <si>
    <t>Purchase A/c</t>
  </si>
  <si>
    <t>Tuesday, March 10, 2026</t>
  </si>
  <si>
    <t>Purchased office equipment by cheque ₹50,000</t>
  </si>
  <si>
    <t>Furniture A/C</t>
  </si>
  <si>
    <t>By Balance B/d</t>
  </si>
  <si>
    <t>Bank Loan Interest A/C</t>
  </si>
  <si>
    <t>Wednesday, March 11, 2026</t>
  </si>
  <si>
    <t>Paid salary ₹22,000</t>
  </si>
  <si>
    <t>Machinery A/C</t>
  </si>
  <si>
    <t>Thursday, March 12, 2026</t>
  </si>
  <si>
    <t>Received ₹2,10,000 from Manoj Stores and allowed discount ₹6,000</t>
  </si>
  <si>
    <t>Friday, March 13, 2026</t>
  </si>
  <si>
    <t>Opening Stock A/C</t>
  </si>
  <si>
    <t>Paid Ravi Traders ₹1,50,000 by cheque and received discount ₹7,000</t>
  </si>
  <si>
    <t>Saturday, March 14, 2026</t>
  </si>
  <si>
    <t>Paid office rent ₹18,000</t>
  </si>
  <si>
    <t>Computer A/C</t>
  </si>
  <si>
    <t xml:space="preserve">(Being goods purchased from Ravi traders) </t>
  </si>
  <si>
    <t>Sunday, March 15, 2026</t>
  </si>
  <si>
    <t>Ravi Traders A/C</t>
  </si>
  <si>
    <t>Purchased goods on credit from Siva Suppliers ₹85,000</t>
  </si>
  <si>
    <t>Monday, March 16, 2026</t>
  </si>
  <si>
    <t>Sold goods on credit to Deepa Stores ₹1,20,000</t>
  </si>
  <si>
    <t>Sales A/C</t>
  </si>
  <si>
    <t>Tuesday, March 17, 2026</t>
  </si>
  <si>
    <t xml:space="preserve">  To Cash A/c</t>
  </si>
  <si>
    <t>Purchase Return A/C</t>
  </si>
  <si>
    <t>Received ₹1,10,000 from Deepa Stores through bank</t>
  </si>
  <si>
    <t>Discount Received A/C</t>
  </si>
  <si>
    <t>Wednesday, March 18, 2026</t>
  </si>
  <si>
    <t>Paid electricity charges ₹5,500</t>
  </si>
  <si>
    <t>By Purchased A/c</t>
  </si>
  <si>
    <t>Siva Suppliers A/C</t>
  </si>
  <si>
    <t>Thursday, March 19, 2026</t>
  </si>
  <si>
    <t>Received commission ₹9,000 in cash</t>
  </si>
  <si>
    <t>(Being purchased goods for cash)</t>
  </si>
  <si>
    <t>To Sales A/c</t>
  </si>
  <si>
    <t>Commission Received A/C</t>
  </si>
  <si>
    <t>By Carriage Inwards A/c</t>
  </si>
  <si>
    <t>Friday, March 20, 2026</t>
  </si>
  <si>
    <t>Withdrew cash from bank for office use ₹20,000</t>
  </si>
  <si>
    <t>Capital A/C</t>
  </si>
  <si>
    <t>To Manoj Stores A/c</t>
  </si>
  <si>
    <t>By Wages A/c</t>
  </si>
  <si>
    <t>Saturday, March 21, 2026</t>
  </si>
  <si>
    <t>Drawings by proprietor in cash ₹12,000</t>
  </si>
  <si>
    <t xml:space="preserve">  To Sales A/c</t>
  </si>
  <si>
    <t>Interest Received A/C</t>
  </si>
  <si>
    <t>To Commission Received A/c</t>
  </si>
  <si>
    <t>Bank Loan A/C</t>
  </si>
  <si>
    <t>By Salary A/c</t>
  </si>
  <si>
    <t>Sunday, March 22, 2026</t>
  </si>
  <si>
    <t>Total</t>
  </si>
  <si>
    <t>Paid insurance premium by cheque ₹6,000</t>
  </si>
  <si>
    <t>(Being sold goods to Manoj Stores)</t>
  </si>
  <si>
    <t>To Bank A/c</t>
  </si>
  <si>
    <t>By Rent A/c</t>
  </si>
  <si>
    <t>Monday, March 23, 2026</t>
  </si>
  <si>
    <t>Paid carriage outward ₹4,000</t>
  </si>
  <si>
    <t>By Electricity Charges A/c</t>
  </si>
  <si>
    <t>Tuesday, March 24, 2026</t>
  </si>
  <si>
    <t>Received interest from bank ₹3,000</t>
  </si>
  <si>
    <t>Wednesday, March 25, 2026</t>
  </si>
  <si>
    <t>By Drawings A/c</t>
  </si>
  <si>
    <t>Purchased goods for cash ₹30,000</t>
  </si>
  <si>
    <t>Thursday, March 26, 2026</t>
  </si>
  <si>
    <t>Paid advertisement expenses ₹8,500</t>
  </si>
  <si>
    <t>(Being sold goods on cash)</t>
  </si>
  <si>
    <t>By Carriage Outwards A/c</t>
  </si>
  <si>
    <t>Friday, March 27, 2026</t>
  </si>
  <si>
    <t>Paid miscellaneous expenses ₹2,500</t>
  </si>
  <si>
    <t>Carriage inward A/c</t>
  </si>
  <si>
    <t>Saturday, March 28, 2026</t>
  </si>
  <si>
    <t>Purchased furniture for cash ₹25,000</t>
  </si>
  <si>
    <t>By Advertisement Expenses A/c</t>
  </si>
  <si>
    <t>Sunday, March 29, 2026</t>
  </si>
  <si>
    <t>Paid bank loan interest ₹5,000</t>
  </si>
  <si>
    <t>Monday, March 30, 2026</t>
  </si>
  <si>
    <t>Deposited additional cash into bank ₹40,000</t>
  </si>
  <si>
    <t>By Miscellaneous Expenses A/c</t>
  </si>
  <si>
    <t>(Being paid carriage inward)</t>
  </si>
  <si>
    <t>Additional Information</t>
  </si>
  <si>
    <t>By Bank Loan Interest A/c</t>
  </si>
  <si>
    <t>Wages A/c</t>
  </si>
  <si>
    <t>1. Closing stock on 31st March 2026 was valued at ₹1,10,000.</t>
  </si>
  <si>
    <t>2. Depreciate machinery @ 10% p.a.</t>
  </si>
  <si>
    <t>3. Depreciate furniture @ 5% p.a.</t>
  </si>
  <si>
    <t>By Balance C/d</t>
  </si>
  <si>
    <t>4. Depreciate computer @ 10% p.a.</t>
  </si>
  <si>
    <t>(Being paid wages)</t>
  </si>
  <si>
    <t>5. Depreciate office equipment @ 10% p.a.</t>
  </si>
  <si>
    <t>Ravi Traders A/c</t>
  </si>
  <si>
    <t>6. Outstanding salary ₹3,000.</t>
  </si>
  <si>
    <t xml:space="preserve">  To Purchase returns A/c</t>
  </si>
  <si>
    <t>7. Prepaid insurance ₹1,500.</t>
  </si>
  <si>
    <t>8. Interest on bank loan accrued but not paid ₹2,000.</t>
  </si>
  <si>
    <t>(Being returned goods to Ravi traders)</t>
  </si>
  <si>
    <t>Sales Returns A/c</t>
  </si>
  <si>
    <t xml:space="preserve">  To Manoj stores A/c</t>
  </si>
  <si>
    <t>(Being Manoj stores returned goods)</t>
  </si>
  <si>
    <t>Office equipment A/c</t>
  </si>
  <si>
    <t xml:space="preserve">  To Bank A/c</t>
  </si>
  <si>
    <t>(Being purchased office equipment by cheque)</t>
  </si>
  <si>
    <t>To Cash A/c</t>
  </si>
  <si>
    <t>Salary A/c</t>
  </si>
  <si>
    <t>(Being paid salary)</t>
  </si>
  <si>
    <t>Discount allowed A/c</t>
  </si>
  <si>
    <t>(Being received cash from Manoj stores and allowed discount)</t>
  </si>
  <si>
    <t xml:space="preserve">  To Discount Received A/c</t>
  </si>
  <si>
    <t>(Being paid Ravi traders by cheque and received discount)</t>
  </si>
  <si>
    <t>To Purchase Return A/c</t>
  </si>
  <si>
    <t>Rent A/c</t>
  </si>
  <si>
    <t>To Discount Received A/c</t>
  </si>
  <si>
    <t>To Balance C/d</t>
  </si>
  <si>
    <t>(Being paid office rent)</t>
  </si>
  <si>
    <t>(Being purchased goods from Siva suppliers)</t>
  </si>
  <si>
    <t>(Being sold goods to Deepa stores)</t>
  </si>
  <si>
    <t xml:space="preserve">  To Deepa stores A/c</t>
  </si>
  <si>
    <t>By Sales Return A/c</t>
  </si>
  <si>
    <t>(Being received cash from Deepa stores through bank)</t>
  </si>
  <si>
    <t>Electricity charges A/c</t>
  </si>
  <si>
    <t>By Discount Allowed A/c</t>
  </si>
  <si>
    <t>(Being paid electricity charges)</t>
  </si>
  <si>
    <t>Received commission A/c</t>
  </si>
  <si>
    <t>(Being received commission through cash)</t>
  </si>
  <si>
    <t>(Being whithdrew cash from bank for office use)</t>
  </si>
  <si>
    <t>Sales A/c</t>
  </si>
  <si>
    <t>Drawings A/c</t>
  </si>
  <si>
    <t>(Being drawings by propritor in cash)</t>
  </si>
  <si>
    <t>Inscurance premium A/c</t>
  </si>
  <si>
    <t>By Deepa Stores A/c</t>
  </si>
  <si>
    <t>(Being paid inscurance premium by cheque)</t>
  </si>
  <si>
    <t>Carriage outward A/c</t>
  </si>
  <si>
    <t>(Being paid carriage outward)</t>
  </si>
  <si>
    <t xml:space="preserve">  To Intrest received A/c</t>
  </si>
  <si>
    <t>Carriage Inwards A/c</t>
  </si>
  <si>
    <t>(Being intrest received from bank)</t>
  </si>
  <si>
    <t>Advertisment expenses A/c</t>
  </si>
  <si>
    <t>(Being paid advertisment expenses)</t>
  </si>
  <si>
    <t>Miscellaneous expenses A/c</t>
  </si>
  <si>
    <t>(Being paid miscellaneous expenses)</t>
  </si>
  <si>
    <t>(Being purchased furniture for cash)</t>
  </si>
  <si>
    <t>Intrest on bank loan A/c</t>
  </si>
  <si>
    <t>Purchase Return A/c</t>
  </si>
  <si>
    <t>(Being paid bank loan intrest)</t>
  </si>
  <si>
    <t>By Ravi Traders A/c</t>
  </si>
  <si>
    <t>(Being deposited additional cash into bank)</t>
  </si>
  <si>
    <t>Sales Return A/c</t>
  </si>
  <si>
    <t>To Manoj Stores A/C</t>
  </si>
  <si>
    <t>Office Equipments A/c</t>
  </si>
  <si>
    <t>By Office Equipments A/c</t>
  </si>
  <si>
    <t>To Deepa Stores A/c</t>
  </si>
  <si>
    <t>To Interest Received A/c</t>
  </si>
  <si>
    <t>By Insurance Premium A/c</t>
  </si>
  <si>
    <t>Discount Allowed A/c</t>
  </si>
  <si>
    <t>To Manoj Traders A/c</t>
  </si>
  <si>
    <t>Discount Received A/c</t>
  </si>
  <si>
    <t>Siva Suppliers A/c</t>
  </si>
  <si>
    <t>By Purchased A/C</t>
  </si>
  <si>
    <t>Electricity Charges A/c</t>
  </si>
  <si>
    <t>Commission Received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</si>
  <si>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</si>
  <si>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</si>
  <si>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</si>
  <si>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</si>
  <si>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</si>
  <si>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</si>
  <si>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In the Books of Bright Traders. Preparation of Profit &amp; Loss Account for the Month Ended 31st March 2026.</t>
  </si>
  <si>
    <t>In the Books of M/s Bright Traders. Preparation of Trading Account for the Month Ended 31st March 2026.</t>
  </si>
  <si>
    <t>Adjustments.</t>
  </si>
  <si>
    <t>To Salary A/C</t>
  </si>
  <si>
    <t>To Opening Stock</t>
  </si>
  <si>
    <t>By Gross Profit b/d</t>
  </si>
  <si>
    <t>By Sales</t>
  </si>
  <si>
    <t>Machinery.</t>
  </si>
  <si>
    <t>To Purchases A/C</t>
  </si>
  <si>
    <r>
      <rPr>
        <rFont val="Times New Roman"/>
        <b/>
        <color theme="1"/>
        <sz val="11.0"/>
      </rPr>
      <t>Add :</t>
    </r>
    <r>
      <rPr>
        <rFont val="Times New Roman"/>
        <color theme="1"/>
        <sz val="11.0"/>
      </rPr>
      <t xml:space="preserve"> Outstanding Salary</t>
    </r>
  </si>
  <si>
    <r>
      <rPr>
        <rFont val="Times New Roman"/>
        <b/>
        <color theme="1"/>
        <sz val="11.0"/>
      </rPr>
      <t>Less :</t>
    </r>
    <r>
      <rPr>
        <rFont val="Times New Roman"/>
        <color theme="1"/>
        <sz val="11.0"/>
      </rPr>
      <t xml:space="preserve"> Sales Return</t>
    </r>
  </si>
  <si>
    <t>By Discount Received A/C</t>
  </si>
  <si>
    <t>Depreciation @10% p.a.</t>
  </si>
  <si>
    <r>
      <rPr>
        <rFont val="Times New Roman"/>
        <b/>
        <color theme="1"/>
        <sz val="11.0"/>
      </rPr>
      <t>Less :</t>
    </r>
    <r>
      <rPr>
        <rFont val="Times New Roman"/>
        <color theme="1"/>
        <sz val="11.0"/>
      </rPr>
      <t xml:space="preserve"> Purchase Return</t>
    </r>
  </si>
  <si>
    <t>By Closing Stock</t>
  </si>
  <si>
    <t>Direct Expenses :</t>
  </si>
  <si>
    <t>To Wages A/C</t>
  </si>
  <si>
    <t>To Discount Allowed A/C</t>
  </si>
  <si>
    <t>By Commission Received A/C</t>
  </si>
  <si>
    <t>To Carriage Inwards A/C</t>
  </si>
  <si>
    <t>To Gross Profit c/d</t>
  </si>
  <si>
    <t>To Rent A/C</t>
  </si>
  <si>
    <t>By Interest Received A/C</t>
  </si>
  <si>
    <t>Computer.</t>
  </si>
  <si>
    <t>To Electricity Charges A/C</t>
  </si>
  <si>
    <t>To Insurance Premium A/C</t>
  </si>
  <si>
    <r>
      <rPr>
        <rFont val="Times New Roman"/>
        <b/>
        <color theme="1"/>
        <sz val="11.0"/>
      </rPr>
      <t xml:space="preserve">Less : </t>
    </r>
    <r>
      <rPr>
        <rFont val="Times New Roman"/>
        <color theme="1"/>
        <sz val="11.0"/>
      </rPr>
      <t>Prepaid Insurance</t>
    </r>
  </si>
  <si>
    <t>Office equipment.</t>
  </si>
  <si>
    <t>To Carriage Outwards A/C</t>
  </si>
  <si>
    <t>To Advertisement Expenses A/C</t>
  </si>
  <si>
    <t>To Miscellaneous Expenses A/C</t>
  </si>
  <si>
    <t>Furniture.</t>
  </si>
  <si>
    <t>To Bank Loan Interest A/C</t>
  </si>
  <si>
    <t>Depreciation @5% p.a.</t>
  </si>
  <si>
    <r>
      <rPr>
        <rFont val="Times New Roman"/>
        <b/>
        <color theme="1"/>
        <sz val="11.0"/>
      </rPr>
      <t>Add :</t>
    </r>
    <r>
      <rPr>
        <rFont val="Times New Roman"/>
        <color theme="1"/>
        <sz val="11.0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</si>
  <si>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</si>
  <si>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</si>
  <si>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</si>
  <si>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</si>
  <si>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 xml:space="preserve">To Net Profit </t>
  </si>
  <si>
    <t>In the Books of M/s Bright Traders. Preparation of Balance Sheet as on 31st March 2026.</t>
  </si>
  <si>
    <t>Liabilities</t>
  </si>
  <si>
    <t>Assets</t>
  </si>
  <si>
    <t>Current Assets :</t>
  </si>
  <si>
    <r>
      <rPr>
        <rFont val="Times New Roman"/>
        <b/>
        <color theme="1"/>
        <sz val="11.0"/>
      </rPr>
      <t xml:space="preserve">Add : </t>
    </r>
    <r>
      <rPr>
        <rFont val="Times New Roman"/>
        <color theme="1"/>
        <sz val="11.0"/>
      </rPr>
      <t>Net Profit</t>
    </r>
  </si>
  <si>
    <t xml:space="preserve">Cash in Hand </t>
  </si>
  <si>
    <r>
      <rPr>
        <rFont val="Times New Roman"/>
        <b/>
        <color theme="1"/>
        <sz val="11.0"/>
      </rPr>
      <t>Less :</t>
    </r>
    <r>
      <rPr>
        <rFont val="Times New Roman"/>
        <color theme="1"/>
        <sz val="11.0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</si>
  <si>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</si>
  <si>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</si>
  <si>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</si>
  <si>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</si>
  <si>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</si>
  <si>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</si>
  <si>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</si>
  <si>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</si>
  <si>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</si>
  <si>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</si>
  <si>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rFont val="Times New Roman"/>
        <b/>
        <color theme="1"/>
        <sz val="11.0"/>
      </rPr>
      <t xml:space="preserve">Less : </t>
    </r>
    <r>
      <rPr>
        <rFont val="Times New Roman"/>
        <color theme="1"/>
        <sz val="11.0"/>
      </rPr>
      <t>Depreciation</t>
    </r>
  </si>
  <si>
    <t>Accrued Interest on Bank Loan</t>
  </si>
  <si>
    <r>
      <rPr>
        <rFont val="Times New Roman"/>
        <b/>
        <color theme="1"/>
        <sz val="11.0"/>
      </rPr>
      <t xml:space="preserve">Less : </t>
    </r>
    <r>
      <rPr>
        <rFont val="Times New Roman"/>
        <color theme="1"/>
        <sz val="11.0"/>
      </rPr>
      <t>Depreciation</t>
    </r>
  </si>
  <si>
    <r>
      <rPr>
        <rFont val="Times New Roman"/>
        <b/>
        <color theme="1"/>
        <sz val="11.0"/>
      </rPr>
      <t xml:space="preserve">Less : </t>
    </r>
    <r>
      <rPr>
        <rFont val="Times New Roman"/>
        <color theme="1"/>
        <sz val="11.0"/>
      </rPr>
      <t>Depreciation</t>
    </r>
  </si>
  <si>
    <t>Office Equipments</t>
  </si>
  <si>
    <r>
      <rPr>
        <rFont val="Times New Roman"/>
        <b/>
        <color theme="1"/>
        <sz val="11.0"/>
      </rPr>
      <t xml:space="preserve">Less : </t>
    </r>
    <r>
      <rPr>
        <rFont val="Times New Roman"/>
        <color theme="1"/>
        <sz val="11.0"/>
      </rPr>
      <t>Depreciation</t>
    </r>
  </si>
  <si>
    <t>Ratio Analysis.</t>
  </si>
  <si>
    <t>Interperation</t>
  </si>
  <si>
    <t>Calculation</t>
  </si>
  <si>
    <t>(Complete the Ratio Analysis which are Applicable.)</t>
  </si>
  <si>
    <t>1.Current Ratio</t>
  </si>
  <si>
    <t>Current Assets / Current Liabilities.</t>
  </si>
  <si>
    <t>1.Current Ratio.</t>
  </si>
  <si>
    <t>Current Assets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</si>
  <si>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2:1.</t>
    </r>
  </si>
  <si>
    <t>Current Ratio = Current Assets / Current Liabilities</t>
  </si>
  <si>
    <t>Current Liabilities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</si>
  <si>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 xml:space="preserve">₹2.31 </t>
    </r>
    <r>
      <rPr>
        <rFont val="Times New Roman"/>
        <color theme="1"/>
        <sz val="11.0"/>
      </rPr>
      <t>of current assets for every ₹1 of current liabilities.</t>
    </r>
  </si>
  <si>
    <t>Current Assets = Cash+Bank+Debtors+Prepaid inscurence+Closing Stock</t>
  </si>
  <si>
    <t>1,32,000+47,000+59,000+1,500+1,10,000</t>
  </si>
  <si>
    <t>The business has a strong ability to pay its short-term liabilities.</t>
  </si>
  <si>
    <t>Current Liabilities = Creditors+Outstanding Salary+Accured intrest</t>
  </si>
  <si>
    <t>1,46,000+3,000+2,000</t>
  </si>
  <si>
    <t>Current Ratio</t>
  </si>
  <si>
    <t>A very high ratio may indicate excess idle current assets and inefficient use of Working Capital.</t>
  </si>
  <si>
    <t>Current Assets / Current Liabilities</t>
  </si>
  <si>
    <t>3,49,500/1,51,000</t>
  </si>
  <si>
    <t>Ideal Ratio</t>
  </si>
  <si>
    <t>(2:1)</t>
  </si>
  <si>
    <t>2.31:1</t>
  </si>
  <si>
    <t>2.Quick Ratio</t>
  </si>
  <si>
    <t>(Current Assets - Inventory - Prepaid Expenses)/ Current Liabilities.</t>
  </si>
  <si>
    <t xml:space="preserve">Quick Assets 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</si>
  <si>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1:1.</t>
    </r>
  </si>
  <si>
    <t>Quick Ratio = (Current Assets - Inventory - Prepaid Expenses)/ Current Liabilities.</t>
  </si>
  <si>
    <r>
      <rPr>
        <rFont val="Times New Roman"/>
        <color theme="1"/>
        <sz val="11.0"/>
      </rPr>
      <t>The firm has</t>
    </r>
    <r>
      <rPr>
        <rFont val="Times New Roman"/>
        <b/>
        <color theme="1"/>
        <sz val="11.0"/>
      </rPr>
      <t xml:space="preserve"> ₹0.98</t>
    </r>
    <r>
      <rPr>
        <rFont val="Times New Roman"/>
        <color theme="1"/>
        <sz val="11.0"/>
      </rPr>
      <t xml:space="preserve"> of quick (Liquid) assets for every ₹1 of current Liabilities.</t>
    </r>
  </si>
  <si>
    <t>Quick Assets =Current Assets - Opening stock - Closing Stock - Prepaid Expenses</t>
  </si>
  <si>
    <t>3,49,500 - 90,000 - 1,10,000 - 1,500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</si>
  <si>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</si>
  <si>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</si>
  <si>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</si>
  <si>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1,80,500/1,82,000</t>
  </si>
  <si>
    <t>(1:1)</t>
  </si>
  <si>
    <t>0.98:1</t>
  </si>
  <si>
    <t>3.Cash Ratio</t>
  </si>
  <si>
    <t>(Cash + Cash Equivalents) / Current Liabilities.</t>
  </si>
  <si>
    <t>Cash + Cash equivalents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</si>
  <si>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0.5:1.</t>
    </r>
  </si>
  <si>
    <t>Cash Ratio = (Cash + Cash Equivalents)/ Current Liabilities</t>
  </si>
  <si>
    <r>
      <rPr>
        <rFont val="Times New Roman"/>
        <color theme="1"/>
        <sz val="11.0"/>
      </rPr>
      <t>The firm has</t>
    </r>
    <r>
      <rPr>
        <rFont val="Times New Roman"/>
        <b/>
        <color theme="1"/>
        <sz val="11.0"/>
      </rPr>
      <t xml:space="preserve"> ₹1.19</t>
    </r>
    <r>
      <rPr>
        <rFont val="Times New Roman"/>
        <color theme="1"/>
        <sz val="11.0"/>
      </rPr>
      <t xml:space="preserve"> of cash and cash equivalents for every ₹1 of current liabilities.</t>
    </r>
  </si>
  <si>
    <t>Cash + Bank</t>
  </si>
  <si>
    <t>1,32,000+47,000</t>
  </si>
  <si>
    <t>The business has sufficeient cash to meet short-term liabilities immediately.</t>
  </si>
  <si>
    <t>Cash Ratio</t>
  </si>
  <si>
    <t>Excess cash holdings may reduce profitability because funds remain idle.</t>
  </si>
  <si>
    <t>(Cash + Cash Equivalents)/ Current Liabilities.</t>
  </si>
  <si>
    <t>1,79,000/1,51,000</t>
  </si>
  <si>
    <t>(0.5:1)</t>
  </si>
  <si>
    <t>1.19:1</t>
  </si>
  <si>
    <t>4.Debt-to-Equity Ratio</t>
  </si>
  <si>
    <t>Total Debt / Shareholder's Equity.</t>
  </si>
  <si>
    <t>4.Debt-to-Equity Ratio.</t>
  </si>
  <si>
    <t>Total Debt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</si>
  <si>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&lt; 1.0.</t>
    </r>
  </si>
  <si>
    <t>Debt-to-Equity Ratio = Total Debt / Shareholder's Equity.</t>
  </si>
  <si>
    <t>Shareholder's Equity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</si>
  <si>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>₹0.5332</t>
    </r>
    <r>
      <rPr>
        <rFont val="Times New Roman"/>
        <color theme="1"/>
        <sz val="11.0"/>
      </rPr>
      <t xml:space="preserve"> of debt for every ₹1 of shareholder's equity.</t>
    </r>
  </si>
  <si>
    <t>Bank Loan+Ravi Traders+ Siva Suppliers+Outstanding Salary+Accured Intrest</t>
  </si>
  <si>
    <t>1,00,000+21,000+1,25,000+3,000+2,000</t>
  </si>
  <si>
    <t>This business has low financial risk and strong equity base.</t>
  </si>
  <si>
    <t>Capital+Net Profit-Drawings</t>
  </si>
  <si>
    <t>4,50,000+32,729-12,000</t>
  </si>
  <si>
    <t>Debt-to-Equity Ratio</t>
  </si>
  <si>
    <t xml:space="preserve">A very low debt-to-equity ratio may indicate underutilization of debt financing, limiting business growth opportunities. </t>
  </si>
  <si>
    <t>2,51,000/4,70,729</t>
  </si>
  <si>
    <t>(&lt;1.0)</t>
  </si>
  <si>
    <t>0.5332 &lt; 1.0</t>
  </si>
  <si>
    <t>5.Debt-to-Assets Ratio</t>
  </si>
  <si>
    <t>Total Debt / Total Assets.</t>
  </si>
  <si>
    <r>
      <rPr>
        <rFont val="Times New Roman"/>
        <color theme="1"/>
        <sz val="11.0"/>
      </rPr>
      <t xml:space="preserve">Ideal Ratio </t>
    </r>
    <r>
      <rPr>
        <rFont val="Times New Roman"/>
        <b/>
        <color theme="1"/>
        <sz val="11.0"/>
      </rPr>
      <t>&lt;50%.</t>
    </r>
  </si>
  <si>
    <t>5.Debt-to-Asset Ratio.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</si>
  <si>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>₹0.3478</t>
    </r>
    <r>
      <rPr>
        <rFont val="Times New Roman"/>
        <color theme="1"/>
        <sz val="11.0"/>
      </rPr>
      <t xml:space="preserve"> of debt for every ₹1 of shareholder's equity.</t>
    </r>
  </si>
  <si>
    <t>Debt-to-Asset Ratio=Total Debt / Total Assets.</t>
  </si>
  <si>
    <t>Total Assets</t>
  </si>
  <si>
    <t>Only a small portion of assets is financed through debt,indicating financial stability.</t>
  </si>
  <si>
    <t>Bank Loan+Royal Suppliers+Metro Distributors +Outstanding Salary+Accured Intrest</t>
  </si>
  <si>
    <t>Debt-to-Assets Ratio</t>
  </si>
  <si>
    <t>A very low ratio may suggest underutilization of borrowed funds for expansion.</t>
  </si>
  <si>
    <t>Computer+Furniture+Machinery+Office equipment+Cash+Bank+Manoj stores+Deepa Stores+Prepaid inscurance+Closing stock.</t>
  </si>
  <si>
    <t>39,667+84,646+1,98,333+49,583+1,32,000+47,000+4,000+55,000+1,500+1,10,000</t>
  </si>
  <si>
    <t>Total Debt / Total assets</t>
  </si>
  <si>
    <t>3,32,000/12,57,792</t>
  </si>
  <si>
    <t>6.Assets Turnover Ratio</t>
  </si>
  <si>
    <t>Net Sales / Total Assets.</t>
  </si>
  <si>
    <r>
      <rPr>
        <rFont val="Times New Roman"/>
        <color theme="1"/>
        <sz val="11.0"/>
      </rPr>
      <t>Ideal Ratio is</t>
    </r>
    <r>
      <rPr>
        <rFont val="Times New Roman"/>
        <b/>
        <color theme="1"/>
        <sz val="11.0"/>
      </rPr>
      <t xml:space="preserve"> &gt;2 times.</t>
    </r>
  </si>
  <si>
    <t>(&lt;50%)</t>
  </si>
  <si>
    <t>0.3478&lt; 50%</t>
  </si>
  <si>
    <t>Total Net Sales</t>
  </si>
  <si>
    <r>
      <rPr>
        <rFont val="Times New Roman"/>
        <color theme="1"/>
        <sz val="11.0"/>
      </rPr>
      <t>The firm generates</t>
    </r>
    <r>
      <rPr>
        <rFont val="Times New Roman"/>
        <b/>
        <color theme="1"/>
        <sz val="11.0"/>
      </rPr>
      <t xml:space="preserve"> ₹0.478</t>
    </r>
    <r>
      <rPr>
        <rFont val="Times New Roman"/>
        <color theme="1"/>
        <sz val="11.0"/>
      </rPr>
      <t xml:space="preserve"> of net sales for every ₹1 invested in total assets.</t>
    </r>
  </si>
  <si>
    <t>6.Assets Turnover Ratio.</t>
  </si>
  <si>
    <t>If Ratio very low → poor Utilization of assets.</t>
  </si>
  <si>
    <t>Assets Turnover Ratio = Net Sales / Total Assets</t>
  </si>
  <si>
    <t>Assets Turnover Ratio</t>
  </si>
  <si>
    <t>A low assets turnover ratio indicates inefficient use of assets to generate sales.</t>
  </si>
  <si>
    <t>Total Sales - Sales Returns</t>
  </si>
  <si>
    <t>3,55,000 - 10,000</t>
  </si>
  <si>
    <t>7.Inventory Turnover Ratio</t>
  </si>
  <si>
    <t>(Opening stock + Net Purchase + Direct expenses - Closing Stock)/ Average Inventory.</t>
  </si>
  <si>
    <t>Net Sales / Total Assets</t>
  </si>
  <si>
    <t>4,28,000/12,57,792</t>
  </si>
  <si>
    <t>COGS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</si>
  <si>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5 - 10</t>
    </r>
    <r>
      <rPr>
        <rFont val="Times New Roman"/>
        <color theme="1"/>
        <sz val="11.0"/>
      </rPr>
      <t xml:space="preserve"> times.</t>
    </r>
  </si>
  <si>
    <t>(&gt;2 Times)</t>
  </si>
  <si>
    <t>0.478 &gt; 2 Times</t>
  </si>
  <si>
    <t>Average Inventory</t>
  </si>
  <si>
    <r>
      <rPr>
        <rFont val="Times New Roman"/>
        <color theme="1"/>
        <sz val="11.0"/>
      </rPr>
      <t>The inventory turnover ratio is 2</t>
    </r>
    <r>
      <rPr>
        <rFont val="Times New Roman"/>
        <b/>
        <color theme="1"/>
        <sz val="11.0"/>
      </rPr>
      <t>.48</t>
    </r>
    <r>
      <rPr>
        <rFont val="Times New Roman"/>
        <color theme="1"/>
        <sz val="11.0"/>
      </rPr>
      <t xml:space="preserve">  times, which is below the ideal range of 5 - 10 tmies.</t>
    </r>
  </si>
  <si>
    <t>7.Inventory Turnover Ratio.</t>
  </si>
  <si>
    <t>Inventory is sold quickly, showing efficient inventory management.</t>
  </si>
  <si>
    <t>Inventory Turnover Ratio = (Opening Stock + Net Purchase + Direct Expenses - Closing Stock)/ Average Inventory.</t>
  </si>
  <si>
    <t>Inventory Turnover Ratio.</t>
  </si>
  <si>
    <t>A very high ratio may indicate insufficient inventory, leading to possible stock shortages.</t>
  </si>
  <si>
    <t>Opening Stock +Purchase - Purchase Returns + Wages + Carriage Inward - Closing Stock</t>
  </si>
  <si>
    <t>90,000+2,60,000-12,000+15,000+4,500-1,10,000</t>
  </si>
  <si>
    <t>(Opening Stock + Closing Stock)/2</t>
  </si>
  <si>
    <t>90,000+1,10,000/2</t>
  </si>
  <si>
    <t>8.Working Capital Turnover Ratio.</t>
  </si>
  <si>
    <t>Net Sales / Current Assets - Current Liabilities.</t>
  </si>
  <si>
    <t>(Opening Stock + Net Purchase + Direct Expenses - Closing Stock)/Average Inventory.</t>
  </si>
  <si>
    <t>29,800/5,000</t>
  </si>
  <si>
    <t>Net Sales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</si>
  <si>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2 - 4.</t>
    </r>
  </si>
  <si>
    <t>(5 - 10) Times.</t>
  </si>
  <si>
    <t>2.48 - 10 Times.</t>
  </si>
  <si>
    <t>Current Assets - Current Liabilities.</t>
  </si>
  <si>
    <r>
      <rPr>
        <rFont val="Times New Roman"/>
        <color theme="1"/>
        <sz val="11.0"/>
      </rPr>
      <t xml:space="preserve">The working Capital Turnover Ratio of </t>
    </r>
    <r>
      <rPr>
        <rFont val="Times New Roman"/>
        <b/>
        <color theme="1"/>
        <sz val="11.0"/>
      </rPr>
      <t xml:space="preserve">1.738 </t>
    </r>
    <r>
      <rPr>
        <rFont val="Times New Roman"/>
        <color theme="1"/>
        <sz val="11.0"/>
      </rPr>
      <t>times is below the ideal range of 2 - 4 times.</t>
    </r>
  </si>
  <si>
    <t>The business is using its working capital efficiently to generate sales.</t>
  </si>
  <si>
    <t>Working Capital Turnover Ratio = Net Sales / Current Assets - Current Liabilities.</t>
  </si>
  <si>
    <t>Working Capital Turnover Ratio.</t>
  </si>
  <si>
    <t>A low working capital turnover ratio may indicate excess working capital or inefficient utilization.</t>
  </si>
  <si>
    <t>(Cash+Bank+Debtors+Prepaid inscurence+Closing Stock) - (Creditors+Outstanding Salary+Accured intrest)</t>
  </si>
  <si>
    <t>(1,32,000+47,000+59,000+1,500+1,10,000) - (1,46,000+3,000+2,000)</t>
  </si>
  <si>
    <t>1,15,500/1,91,000</t>
  </si>
  <si>
    <t>(2 - 4)</t>
  </si>
  <si>
    <t>1.738 - 4.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</si>
</sst>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_ ;_ * \-#,##0_ ;_ * &quot;-&quot;??_ ;_ @_ "/>
    <numFmt numFmtId="165" formatCode="_ * #,##0.00_ ;_ * \-#,##0.00_ ;_ * &quot;-&quot;??_ ;_ @_ "/>
    <numFmt numFmtId="166" formatCode="_ * #,##0.0000_ ;_ * \-#,##0.0000_ ;_ * &quot;-&quot;??_ ;_ @_ "/>
    <numFmt numFmtId="167" formatCode="#,##0.0000"/>
    <numFmt numFmtId="168" formatCode="_ * #,##0.000_ ;_ * \-#,##0.000_ ;_ * &quot;-&quot;??_ ;_ @_ "/>
    <numFmt numFmtId="169" formatCode="#,##0.000"/>
  </numFmts>
  <fonts count="12">
    <font>
      <sz val="11.0"/>
      <color theme="1"/>
      <name val="Aptos Narrow"/>
      <scheme val="minor"/>
    </font>
    <font>
      <b/>
      <sz val="11.0"/>
      <color theme="1"/>
      <name val="Times New Roman"/>
    </font>
    <font>
      <b/>
      <sz val="14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sz val="11.0"/>
      <color rgb="FFFF0000"/>
      <name val="Times New Roman"/>
    </font>
    <font>
      <b/>
      <sz val="14.0"/>
      <color rgb="FF171717"/>
      <name val="Times New Roman"/>
    </font>
    <font>
      <b/>
      <i/>
      <sz val="11.0"/>
      <color theme="9"/>
      <name val="Times New Roman"/>
    </font>
    <font>
      <b/>
      <sz val="13.0"/>
      <color theme="1"/>
      <name val="Times New Roman"/>
    </font>
    <font>
      <sz val="11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rgb="FFF1A983"/>
        <bgColor rgb="FFF1A983"/>
      </patternFill>
    </fill>
    <fill>
      <patternFill patternType="solid">
        <fgColor rgb="FF95DCF7"/>
        <bgColor rgb="FF95DCF7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AEAEAE"/>
        <bgColor rgb="FFAEAEAE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D0D0D0"/>
        <bgColor rgb="FFD0D0D0"/>
      </patternFill>
    </fill>
    <fill>
      <patternFill patternType="solid">
        <fgColor rgb="FF0B769F"/>
        <bgColor rgb="FF0B769F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1" numFmtId="0" xfId="0" applyFont="1"/>
    <xf borderId="1" fillId="2" fontId="4" numFmtId="0" xfId="0" applyAlignment="1" applyBorder="1" applyFill="1" applyFont="1">
      <alignment horizontal="center"/>
    </xf>
    <xf borderId="0" fillId="0" fontId="4" numFmtId="0" xfId="0" applyAlignment="1" applyFont="1">
      <alignment horizontal="left"/>
    </xf>
    <xf borderId="1" fillId="2" fontId="4" numFmtId="164" xfId="0" applyAlignment="1" applyBorder="1" applyFill="1" applyFont="1" applyNumberFormat="1">
      <alignment horizontal="center"/>
    </xf>
    <xf borderId="2" fillId="0" fontId="4" numFmtId="0" xfId="0" applyAlignment="1" applyBorder="1" applyFont="1">
      <alignment horizontal="center"/>
    </xf>
    <xf borderId="3" fillId="3" fontId="4" numFmtId="0" xfId="0" applyAlignment="1" applyBorder="1" applyFill="1" applyFont="1">
      <alignment horizontal="center"/>
    </xf>
    <xf borderId="2" fillId="0" fontId="5" numFmtId="0" xfId="0" applyBorder="1" applyFont="1"/>
    <xf borderId="1" fillId="3" fontId="4" numFmtId="0" xfId="0" applyAlignment="1" applyBorder="1" applyFill="1" applyFont="1">
      <alignment horizontal="center"/>
    </xf>
    <xf borderId="0" fillId="0" fontId="4" numFmtId="164" xfId="0" applyAlignment="1" applyFont="1" applyNumberFormat="1">
      <alignment horizontal="right"/>
    </xf>
    <xf borderId="4" fillId="3" fontId="4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4" fillId="3" fontId="4" numFmtId="164" xfId="0" applyAlignment="1" applyBorder="1" applyFill="1" applyFont="1" applyNumberFormat="1">
      <alignment horizontal="center"/>
    </xf>
    <xf borderId="1" fillId="4" fontId="3" numFmtId="0" xfId="0" applyBorder="1" applyFill="1" applyFont="1"/>
    <xf borderId="1" fillId="4" fontId="3" numFmtId="164" xfId="0" applyBorder="1" applyFill="1" applyFont="1" applyNumberFormat="1"/>
    <xf borderId="0" fillId="0" fontId="3" numFmtId="0" xfId="0" applyAlignment="1" applyFont="1">
      <alignment horizontal="center"/>
    </xf>
    <xf borderId="1" fillId="3" fontId="4" numFmtId="164" xfId="0" applyAlignment="1" applyBorder="1" applyFill="1" applyFont="1" applyNumberFormat="1">
      <alignment horizontal="center"/>
    </xf>
    <xf borderId="1" fillId="4" fontId="3" numFmtId="14" xfId="0" applyBorder="1" applyFill="1" applyFont="1" applyNumberFormat="1"/>
    <xf borderId="0" fillId="0" fontId="3" numFmtId="3" xfId="0" applyFont="1" applyNumberFormat="1"/>
    <xf borderId="1" fillId="4" fontId="3" numFmtId="0" xfId="0" applyAlignment="1" applyBorder="1" applyFill="1" applyFont="1">
      <alignment horizontal="left"/>
    </xf>
    <xf borderId="5" fillId="5" fontId="3" numFmtId="14" xfId="0" applyBorder="1" applyFill="1" applyFont="1" applyNumberFormat="1"/>
    <xf borderId="6" fillId="5" fontId="3" numFmtId="0" xfId="0" applyBorder="1" applyFill="1" applyFont="1"/>
    <xf borderId="7" fillId="5" fontId="3" numFmtId="0" xfId="0" applyBorder="1" applyFill="1" applyFont="1"/>
    <xf borderId="7" fillId="5" fontId="3" numFmtId="164" xfId="0" applyBorder="1" applyFill="1" applyFont="1" applyNumberFormat="1"/>
    <xf borderId="6" fillId="5" fontId="3" numFmtId="164" xfId="0" applyBorder="1" applyFill="1" applyFont="1" applyNumberFormat="1"/>
    <xf borderId="8" fillId="5" fontId="3" numFmtId="0" xfId="0" applyBorder="1" applyFill="1" applyFont="1"/>
    <xf borderId="9" fillId="5" fontId="3" numFmtId="0" xfId="0" applyBorder="1" applyFill="1" applyFont="1"/>
    <xf borderId="10" fillId="5" fontId="3" numFmtId="0" xfId="0" applyBorder="1" applyFill="1" applyFont="1"/>
    <xf borderId="10" fillId="5" fontId="3" numFmtId="164" xfId="0" applyBorder="1" applyFill="1" applyFont="1" applyNumberFormat="1"/>
    <xf borderId="9" fillId="5" fontId="3" numFmtId="164" xfId="0" applyBorder="1" applyFill="1" applyFont="1" applyNumberFormat="1"/>
    <xf borderId="11" fillId="5" fontId="3" numFmtId="0" xfId="0" applyBorder="1" applyFill="1" applyFont="1"/>
    <xf borderId="12" fillId="5" fontId="3" numFmtId="0" xfId="0" applyBorder="1" applyFill="1" applyFont="1"/>
    <xf borderId="13" fillId="5" fontId="3" numFmtId="0" xfId="0" applyBorder="1" applyFill="1" applyFont="1"/>
    <xf borderId="13" fillId="5" fontId="3" numFmtId="164" xfId="0" applyBorder="1" applyFill="1" applyFont="1" applyNumberFormat="1"/>
    <xf borderId="1" fillId="4" fontId="1" numFmtId="164" xfId="0" applyBorder="1" applyFill="1" applyFont="1" applyNumberFormat="1"/>
    <xf borderId="12" fillId="5" fontId="3" numFmtId="164" xfId="0" applyBorder="1" applyFill="1" applyFont="1" applyNumberFormat="1"/>
    <xf borderId="1" fillId="4" fontId="3" numFmtId="164" xfId="0" applyAlignment="1" applyBorder="1" applyFill="1" applyFont="1" applyNumberFormat="1">
      <alignment horizontal="right" vertical="center"/>
    </xf>
    <xf borderId="8" fillId="5" fontId="3" numFmtId="14" xfId="0" applyBorder="1" applyFill="1" applyFont="1" applyNumberFormat="1"/>
    <xf borderId="0" fillId="0" fontId="3" numFmtId="14" xfId="0" applyFont="1" applyNumberFormat="1"/>
    <xf borderId="14" fillId="2" fontId="1" numFmtId="0" xfId="0" applyAlignment="1" applyBorder="1" applyFill="1" applyFont="1">
      <alignment horizontal="center"/>
    </xf>
    <xf borderId="15" fillId="0" fontId="5" numFmtId="0" xfId="0" applyBorder="1" applyFont="1"/>
    <xf borderId="1" fillId="2" fontId="1" numFmtId="164" xfId="0" applyBorder="1" applyFill="1" applyFont="1" applyNumberFormat="1"/>
    <xf borderId="0" fillId="0" fontId="4" numFmtId="0" xfId="0" applyFont="1"/>
    <xf borderId="0" fillId="0" fontId="6" numFmtId="0" xfId="0" applyFont="1"/>
    <xf borderId="0" fillId="0" fontId="4" numFmtId="0" xfId="0" applyAlignment="1" applyFont="1">
      <alignment horizontal="right"/>
    </xf>
    <xf borderId="3" fillId="5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4" fillId="5" fontId="4" numFmtId="0" xfId="0" applyAlignment="1" applyBorder="1" applyFill="1" applyFont="1">
      <alignment horizontal="center"/>
    </xf>
    <xf borderId="3" fillId="6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14" fillId="7" fontId="2" numFmtId="0" xfId="0" applyAlignment="1" applyBorder="1" applyFill="1" applyFont="1">
      <alignment horizontal="center"/>
    </xf>
    <xf borderId="4" fillId="6" fontId="4" numFmtId="0" xfId="0" applyAlignment="1" applyBorder="1" applyFill="1" applyFont="1">
      <alignment horizontal="center"/>
    </xf>
    <xf borderId="8" fillId="8" fontId="3" numFmtId="0" xfId="0" applyBorder="1" applyFill="1" applyFont="1"/>
    <xf borderId="8" fillId="9" fontId="3" numFmtId="0" xfId="0" applyBorder="1" applyFill="1" applyFont="1"/>
    <xf borderId="9" fillId="8" fontId="3" numFmtId="3" xfId="0" applyBorder="1" applyFill="1" applyFont="1" applyNumberFormat="1"/>
    <xf borderId="9" fillId="9" fontId="3" numFmtId="0" xfId="0" applyBorder="1" applyFill="1" applyFont="1"/>
    <xf borderId="10" fillId="8" fontId="3" numFmtId="0" xfId="0" applyBorder="1" applyFill="1" applyFont="1"/>
    <xf borderId="9" fillId="8" fontId="3" numFmtId="0" xfId="0" applyBorder="1" applyFill="1" applyFont="1"/>
    <xf borderId="10" fillId="9" fontId="3" numFmtId="3" xfId="0" applyBorder="1" applyFill="1" applyFont="1" applyNumberFormat="1"/>
    <xf borderId="8" fillId="10" fontId="3" numFmtId="0" xfId="0" applyBorder="1" applyFill="1" applyFont="1"/>
    <xf borderId="6" fillId="10" fontId="3" numFmtId="164" xfId="0" applyBorder="1" applyFill="1" applyFont="1" applyNumberFormat="1"/>
    <xf borderId="9" fillId="9" fontId="3" numFmtId="3" xfId="0" applyBorder="1" applyFill="1" applyFont="1" applyNumberFormat="1"/>
    <xf borderId="10" fillId="9" fontId="3" numFmtId="0" xfId="0" applyBorder="1" applyFill="1" applyFont="1"/>
    <xf borderId="16" fillId="8" fontId="3" numFmtId="3" xfId="0" applyBorder="1" applyFill="1" applyFont="1" applyNumberFormat="1"/>
    <xf borderId="16" fillId="9" fontId="3" numFmtId="3" xfId="0" applyBorder="1" applyFill="1" applyFont="1" applyNumberFormat="1"/>
    <xf borderId="10" fillId="8" fontId="3" numFmtId="3" xfId="0" applyBorder="1" applyFill="1" applyFont="1" applyNumberFormat="1"/>
    <xf borderId="8" fillId="9" fontId="1" numFmtId="0" xfId="0" applyBorder="1" applyFill="1" applyFont="1"/>
    <xf borderId="9" fillId="10" fontId="7" numFmtId="164" xfId="0" applyBorder="1" applyFill="1" applyFont="1" applyNumberFormat="1"/>
    <xf borderId="1" fillId="10" fontId="1" numFmtId="164" xfId="0" applyBorder="1" applyFill="1" applyFont="1" applyNumberFormat="1"/>
    <xf borderId="11" fillId="9" fontId="3" numFmtId="0" xfId="0" applyBorder="1" applyFill="1" applyFont="1"/>
    <xf borderId="5" fillId="10" fontId="3" numFmtId="0" xfId="0" applyBorder="1" applyFill="1" applyFont="1"/>
    <xf borderId="12" fillId="9" fontId="3" numFmtId="0" xfId="0" applyBorder="1" applyFill="1" applyFont="1"/>
    <xf borderId="1" fillId="6" fontId="1" numFmtId="3" xfId="0" applyBorder="1" applyFill="1" applyFont="1" applyNumberFormat="1"/>
    <xf borderId="11" fillId="10" fontId="3" numFmtId="0" xfId="0" applyBorder="1" applyFill="1" applyFont="1"/>
    <xf borderId="13" fillId="9" fontId="3" numFmtId="0" xfId="0" applyBorder="1" applyFill="1" applyFont="1"/>
    <xf borderId="9" fillId="10" fontId="3" numFmtId="164" xfId="0" applyBorder="1" applyFill="1" applyFont="1" applyNumberFormat="1"/>
    <xf borderId="11" fillId="8" fontId="3" numFmtId="0" xfId="0" applyBorder="1" applyFill="1" applyFont="1"/>
    <xf borderId="12" fillId="8" fontId="3" numFmtId="0" xfId="0" applyBorder="1" applyFill="1" applyFont="1"/>
    <xf borderId="1" fillId="5" fontId="1" numFmtId="3" xfId="0" applyBorder="1" applyFill="1" applyFont="1" applyNumberFormat="1"/>
    <xf borderId="13" fillId="8" fontId="3" numFmtId="0" xfId="0" applyBorder="1" applyFill="1" applyFont="1"/>
    <xf borderId="3" fillId="2" fontId="4" numFmtId="0" xfId="0" applyAlignment="1" applyBorder="1" applyFill="1" applyFont="1">
      <alignment horizontal="center"/>
    </xf>
    <xf borderId="4" fillId="2" fontId="4" numFmtId="0" xfId="0" applyAlignment="1" applyBorder="1" applyFill="1" applyFont="1">
      <alignment horizontal="center"/>
    </xf>
    <xf borderId="8" fillId="4" fontId="3" numFmtId="0" xfId="0" applyBorder="1" applyFill="1" applyFont="1"/>
    <xf borderId="9" fillId="4" fontId="3" numFmtId="3" xfId="0" applyBorder="1" applyFill="1" applyFont="1" applyNumberFormat="1"/>
    <xf borderId="10" fillId="4" fontId="3" numFmtId="0" xfId="0" applyBorder="1" applyFill="1" applyFont="1"/>
    <xf borderId="9" fillId="4" fontId="1" numFmtId="0" xfId="0" applyBorder="1" applyFill="1" applyFont="1"/>
    <xf borderId="9" fillId="4" fontId="3" numFmtId="0" xfId="0" applyBorder="1" applyFill="1" applyFont="1"/>
    <xf borderId="16" fillId="4" fontId="3" numFmtId="3" xfId="0" applyBorder="1" applyFill="1" applyFont="1" applyNumberFormat="1"/>
    <xf borderId="10" fillId="4" fontId="3" numFmtId="3" xfId="0" applyBorder="1" applyFill="1" applyFont="1" applyNumberFormat="1"/>
    <xf borderId="8" fillId="4" fontId="1" numFmtId="0" xfId="0" applyBorder="1" applyFill="1" applyFont="1"/>
    <xf borderId="16" fillId="4" fontId="3" numFmtId="0" xfId="0" applyBorder="1" applyFill="1" applyFont="1"/>
    <xf borderId="11" fillId="4" fontId="3" numFmtId="0" xfId="0" applyBorder="1" applyFill="1" applyFont="1"/>
    <xf borderId="12" fillId="4" fontId="3" numFmtId="0" xfId="0" applyBorder="1" applyFill="1" applyFont="1"/>
    <xf borderId="1" fillId="2" fontId="1" numFmtId="3" xfId="0" applyBorder="1" applyFill="1" applyFont="1" applyNumberFormat="1"/>
    <xf borderId="13" fillId="4" fontId="3" numFmtId="0" xfId="0" applyBorder="1" applyFill="1" applyFont="1"/>
    <xf borderId="14" fillId="11" fontId="8" numFmtId="0" xfId="0" applyAlignment="1" applyBorder="1" applyFill="1" applyFont="1">
      <alignment horizontal="center"/>
    </xf>
    <xf borderId="6" fillId="11" fontId="8" numFmtId="0" xfId="0" applyAlignment="1" applyBorder="1" applyFill="1" applyFont="1">
      <alignment horizontal="center"/>
    </xf>
    <xf borderId="17" fillId="12" fontId="2" numFmtId="0" xfId="0" applyAlignment="1" applyBorder="1" applyFill="1" applyFont="1">
      <alignment horizontal="center" vertical="bottom"/>
    </xf>
    <xf borderId="18" fillId="0" fontId="5" numFmtId="0" xfId="0" applyBorder="1" applyFont="1"/>
    <xf borderId="19" fillId="0" fontId="5" numFmtId="0" xfId="0" applyBorder="1" applyFont="1"/>
    <xf borderId="14" fillId="11" fontId="9" numFmtId="0" xfId="0" applyAlignment="1" applyBorder="1" applyFill="1" applyFont="1">
      <alignment horizontal="center"/>
    </xf>
    <xf borderId="20" fillId="0" fontId="5" numFmtId="0" xfId="0" applyBorder="1" applyFont="1"/>
    <xf borderId="12" fillId="11" fontId="3" numFmtId="0" xfId="0" applyBorder="1" applyFill="1" applyFont="1"/>
    <xf borderId="21" fillId="0" fontId="5" numFmtId="0" xfId="0" applyBorder="1" applyFont="1"/>
    <xf borderId="22" fillId="0" fontId="5" numFmtId="0" xfId="0" applyBorder="1" applyFont="1"/>
    <xf borderId="23" fillId="2" fontId="1" numFmtId="0" xfId="0" applyBorder="1" applyFill="1" applyFont="1"/>
    <xf borderId="9" fillId="2" fontId="1" numFmtId="0" xfId="0" applyBorder="1" applyFill="1" applyFont="1"/>
    <xf borderId="9" fillId="2" fontId="3" numFmtId="0" xfId="0" applyBorder="1" applyFill="1" applyFont="1"/>
    <xf borderId="14" fillId="12" fontId="10" numFmtId="0" xfId="0" applyAlignment="1" applyBorder="1" applyFill="1" applyFont="1">
      <alignment horizontal="center" vertical="bottom"/>
    </xf>
    <xf borderId="24" fillId="0" fontId="5" numFmtId="0" xfId="0" applyBorder="1" applyFont="1"/>
    <xf borderId="23" fillId="2" fontId="3" numFmtId="0" xfId="0" applyAlignment="1" applyBorder="1" applyFill="1" applyFont="1">
      <alignment horizontal="right"/>
    </xf>
    <xf borderId="9" fillId="2" fontId="3" numFmtId="164" xfId="0" applyBorder="1" applyFill="1" applyFont="1" applyNumberFormat="1"/>
    <xf borderId="14" fillId="12" fontId="4" numFmtId="0" xfId="0" applyAlignment="1" applyBorder="1" applyFill="1" applyFont="1">
      <alignment horizontal="center" vertical="bottom"/>
    </xf>
    <xf borderId="1" fillId="13" fontId="3" numFmtId="0" xfId="0" applyAlignment="1" applyBorder="1" applyFill="1" applyFont="1">
      <alignment horizontal="center" vertical="bottom"/>
    </xf>
    <xf borderId="1" fillId="13" fontId="3" numFmtId="3" xfId="0" applyAlignment="1" applyBorder="1" applyFill="1" applyFont="1" applyNumberFormat="1">
      <alignment readingOrder="0" vertical="bottom"/>
    </xf>
    <xf borderId="1" fillId="13" fontId="3" numFmtId="3" xfId="0" applyAlignment="1" applyBorder="1" applyFill="1" applyFont="1" applyNumberFormat="1">
      <alignment horizontal="right" vertical="bottom"/>
    </xf>
    <xf borderId="9" fillId="2" fontId="3" numFmtId="0" xfId="0" applyAlignment="1" applyBorder="1" applyFill="1" applyFont="1">
      <alignment shrinkToFit="0" wrapText="1"/>
    </xf>
    <xf borderId="9" fillId="2" fontId="1" numFmtId="165" xfId="0" applyBorder="1" applyFill="1" applyFont="1" applyNumberFormat="1"/>
    <xf borderId="1" fillId="13" fontId="1" numFmtId="4" xfId="0" applyAlignment="1" applyBorder="1" applyFill="1" applyFont="1" applyNumberFormat="1">
      <alignment horizontal="right" vertical="bottom"/>
    </xf>
    <xf borderId="1" fillId="2" fontId="3" numFmtId="0" xfId="0" applyBorder="1" applyFill="1" applyFont="1"/>
    <xf borderId="1" fillId="2" fontId="3" numFmtId="164" xfId="0" applyBorder="1" applyFill="1" applyFont="1" applyNumberFormat="1"/>
    <xf borderId="1" fillId="13" fontId="1" numFmtId="3" xfId="0" applyAlignment="1" applyBorder="1" applyFill="1" applyFont="1" applyNumberFormat="1">
      <alignment horizontal="center" vertical="bottom"/>
    </xf>
    <xf borderId="1" fillId="13" fontId="1" numFmtId="3" xfId="0" applyAlignment="1" applyBorder="1" applyFill="1" applyFont="1" applyNumberFormat="1">
      <alignment horizontal="center" readingOrder="0" vertical="bottom"/>
    </xf>
    <xf borderId="9" fillId="2" fontId="1" numFmtId="164" xfId="0" applyAlignment="1" applyBorder="1" applyFill="1" applyFont="1" applyNumberFormat="1">
      <alignment shrinkToFit="0" wrapText="1"/>
    </xf>
    <xf borderId="9" fillId="2" fontId="3" numFmtId="164" xfId="0" applyAlignment="1" applyBorder="1" applyFill="1" applyFont="1" applyNumberFormat="1">
      <alignment readingOrder="0"/>
    </xf>
    <xf borderId="9" fillId="2" fontId="3" numFmtId="0" xfId="0" applyAlignment="1" applyBorder="1" applyFill="1" applyFont="1">
      <alignment readingOrder="0"/>
    </xf>
    <xf borderId="1" fillId="13" fontId="3" numFmtId="3" xfId="0" applyAlignment="1" applyBorder="1" applyFill="1" applyFont="1" applyNumberFormat="1">
      <alignment vertical="bottom"/>
    </xf>
    <xf borderId="23" fillId="2" fontId="3" numFmtId="0" xfId="0" applyBorder="1" applyFill="1" applyFont="1"/>
    <xf borderId="1" fillId="2" fontId="3" numFmtId="165" xfId="0" applyBorder="1" applyFill="1" applyFont="1" applyNumberFormat="1"/>
    <xf borderId="9" fillId="2" fontId="1" numFmtId="164" xfId="0" applyBorder="1" applyFill="1" applyFont="1" applyNumberFormat="1"/>
    <xf borderId="14" fillId="1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right"/>
    </xf>
    <xf borderId="23" fillId="2" fontId="1" numFmtId="0" xfId="0" applyAlignment="1" applyBorder="1" applyFill="1" applyFont="1">
      <alignment horizontal="left"/>
    </xf>
    <xf borderId="1" fillId="13" fontId="3" numFmtId="0" xfId="0" applyAlignment="1" applyBorder="1" applyFill="1" applyFont="1">
      <alignment horizontal="center" readingOrder="0" vertical="bottom"/>
    </xf>
    <xf borderId="9" fillId="2" fontId="1" numFmtId="166" xfId="0" applyBorder="1" applyFill="1" applyFont="1" applyNumberFormat="1"/>
    <xf borderId="1" fillId="13" fontId="1" numFmtId="167" xfId="0" applyAlignment="1" applyBorder="1" applyFill="1" applyFont="1" applyNumberFormat="1">
      <alignment horizontal="right" vertical="bottom"/>
    </xf>
    <xf borderId="1" fillId="2" fontId="3" numFmtId="0" xfId="0" applyAlignment="1" applyBorder="1" applyFill="1" applyFont="1">
      <alignment horizontal="left"/>
    </xf>
    <xf borderId="1" fillId="13" fontId="3" numFmtId="0" xfId="0" applyAlignment="1" applyBorder="1" applyFill="1" applyFont="1">
      <alignment readingOrder="0" vertical="bottom"/>
    </xf>
    <xf borderId="0" fillId="13" fontId="3" numFmtId="3" xfId="0" applyAlignment="1" applyFill="1" applyFont="1" applyNumberFormat="1">
      <alignment horizontal="right" vertical="bottom"/>
    </xf>
    <xf borderId="9" fillId="2" fontId="1" numFmtId="168" xfId="0" applyBorder="1" applyFill="1" applyFont="1" applyNumberFormat="1"/>
    <xf borderId="1" fillId="13" fontId="1" numFmtId="169" xfId="0" applyAlignment="1" applyBorder="1" applyFill="1" applyFont="1" applyNumberFormat="1">
      <alignment horizontal="right" vertical="bottom"/>
    </xf>
    <xf borderId="25" fillId="2" fontId="3" numFmtId="0" xfId="0" applyAlignment="1" applyBorder="1" applyFill="1" applyFont="1">
      <alignment horizontal="right"/>
    </xf>
    <xf borderId="12" fillId="2" fontId="1" numFmtId="168" xfId="0" applyBorder="1" applyFill="1" applyFont="1" applyNumberFormat="1"/>
    <xf borderId="12" fillId="2" fontId="3" numFmtId="0" xfId="0" applyBorder="1" applyFill="1" applyFont="1"/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56.5"/>
    <col customWidth="1" min="3" max="6" width="8.88"/>
    <col customWidth="1" min="7" max="26" width="8.63"/>
  </cols>
  <sheetData>
    <row r="1" ht="41.25" customHeight="1">
      <c r="A1" s="1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6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4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 t="s">
        <v>10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4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 t="s">
        <v>16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4" t="s">
        <v>18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 t="s">
        <v>23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2" t="s">
        <v>11</v>
      </c>
      <c r="B13" s="22" t="s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 t="s">
        <v>29</v>
      </c>
      <c r="B14" s="25">
        <v>45000.0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 t="s">
        <v>32</v>
      </c>
      <c r="B15" s="25">
        <v>120000.0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 t="s">
        <v>35</v>
      </c>
      <c r="B16" s="25">
        <v>90000.0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 t="s">
        <v>39</v>
      </c>
      <c r="B17" s="25">
        <v>60000.0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 t="s">
        <v>41</v>
      </c>
      <c r="B18" s="25">
        <v>200000.0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 t="s">
        <v>45</v>
      </c>
      <c r="B19" s="25">
        <v>40000.0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 t="s">
        <v>49</v>
      </c>
      <c r="B20" s="25">
        <v>70000.0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 t="s">
        <v>52</v>
      </c>
      <c r="B21" s="25">
        <v>45000.0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 t="s">
        <v>55</v>
      </c>
      <c r="B22" s="25">
        <v>80000.0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 t="s">
        <v>59</v>
      </c>
      <c r="B23" s="25">
        <v>40000.0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 t="s">
        <v>61</v>
      </c>
      <c r="B24" s="25">
        <v>450000.0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 t="s">
        <v>64</v>
      </c>
      <c r="B25" s="25">
        <v>100000.0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2" t="s">
        <v>70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 t="s">
        <v>8</v>
      </c>
      <c r="B28" s="4" t="s">
        <v>72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 t="s">
        <v>74</v>
      </c>
      <c r="B29" s="4" t="s">
        <v>75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 t="s">
        <v>77</v>
      </c>
      <c r="B30" s="4" t="s">
        <v>78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 t="s">
        <v>81</v>
      </c>
      <c r="B31" s="4" t="s">
        <v>82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 t="s">
        <v>85</v>
      </c>
      <c r="B32" s="4" t="s">
        <v>86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 t="s">
        <v>87</v>
      </c>
      <c r="B33" s="4" t="s">
        <v>89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 t="s">
        <v>91</v>
      </c>
      <c r="B34" s="4" t="s">
        <v>93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 t="s">
        <v>95</v>
      </c>
      <c r="B35" s="4" t="s">
        <v>96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 t="s">
        <v>97</v>
      </c>
      <c r="B36" s="4" t="s">
        <v>98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 t="s">
        <v>101</v>
      </c>
      <c r="B37" s="4" t="s">
        <v>102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 t="s">
        <v>106</v>
      </c>
      <c r="B38" s="4" t="s">
        <v>107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 t="s">
        <v>109</v>
      </c>
      <c r="B39" s="4" t="s">
        <v>110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 t="s">
        <v>111</v>
      </c>
      <c r="B40" s="4" t="s">
        <v>113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 t="s">
        <v>114</v>
      </c>
      <c r="B41" s="4" t="s">
        <v>115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 t="s">
        <v>118</v>
      </c>
      <c r="B42" s="4" t="s">
        <v>120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 t="s">
        <v>121</v>
      </c>
      <c r="B43" s="4" t="s">
        <v>122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 t="s">
        <v>124</v>
      </c>
      <c r="B44" s="4" t="s">
        <v>127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 t="s">
        <v>129</v>
      </c>
      <c r="B45" s="4" t="s">
        <v>130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 t="s">
        <v>133</v>
      </c>
      <c r="B46" s="4" t="s">
        <v>134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 t="s">
        <v>139</v>
      </c>
      <c r="B47" s="4" t="s">
        <v>140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 t="s">
        <v>144</v>
      </c>
      <c r="B48" s="4" t="s">
        <v>145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 t="s">
        <v>151</v>
      </c>
      <c r="B49" s="4" t="s">
        <v>153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 t="s">
        <v>157</v>
      </c>
      <c r="B50" s="4" t="s">
        <v>158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 t="s">
        <v>160</v>
      </c>
      <c r="B51" s="4" t="s">
        <v>161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 t="s">
        <v>162</v>
      </c>
      <c r="B52" s="4" t="s">
        <v>164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 t="s">
        <v>165</v>
      </c>
      <c r="B53" s="4" t="s">
        <v>166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 t="s">
        <v>169</v>
      </c>
      <c r="B54" s="4" t="s">
        <v>170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 t="s">
        <v>172</v>
      </c>
      <c r="B55" s="4" t="s">
        <v>173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 t="s">
        <v>175</v>
      </c>
      <c r="B56" s="4" t="s">
        <v>176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 t="s">
        <v>177</v>
      </c>
      <c r="B57" s="4" t="s">
        <v>178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22" t="s">
        <v>181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6" t="s">
        <v>184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6" t="s">
        <v>185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6" t="s">
        <v>186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6" t="s">
        <v>188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6" t="s">
        <v>190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6" t="s">
        <v>192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6" t="s">
        <v>194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6" t="s">
        <v>195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63:B63"/>
    <mergeCell ref="A64:B64"/>
    <mergeCell ref="A65:B65"/>
    <mergeCell ref="A66:B66"/>
    <mergeCell ref="A67:B67"/>
    <mergeCell ref="A1:B1"/>
    <mergeCell ref="A3:B3"/>
    <mergeCell ref="A27:B27"/>
    <mergeCell ref="A59:B59"/>
    <mergeCell ref="A60:B60"/>
    <mergeCell ref="A61:B61"/>
    <mergeCell ref="A62:B6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50.88"/>
    <col customWidth="1" min="3" max="4" width="4.38"/>
    <col customWidth="1" min="5" max="6" width="30.25"/>
    <col customWidth="1" min="7" max="26" width="8.63"/>
  </cols>
  <sheetData>
    <row r="1" ht="13.5" customHeight="1">
      <c r="A1" s="3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4"/>
      <c r="C2" s="4"/>
      <c r="D2" s="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3" t="s">
        <v>8</v>
      </c>
      <c r="B3" s="15" t="s">
        <v>11</v>
      </c>
      <c r="C3" s="17"/>
      <c r="D3" s="15" t="s">
        <v>19</v>
      </c>
      <c r="E3" s="19" t="s">
        <v>20</v>
      </c>
      <c r="F3" s="23" t="s">
        <v>28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7">
        <v>46082.0</v>
      </c>
      <c r="B4" s="28" t="s">
        <v>36</v>
      </c>
      <c r="C4" s="29" t="s">
        <v>9</v>
      </c>
      <c r="D4" s="28"/>
      <c r="E4" s="30">
        <v>45000.0</v>
      </c>
      <c r="F4" s="3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32"/>
      <c r="B5" s="33" t="s">
        <v>47</v>
      </c>
      <c r="C5" s="34" t="s">
        <v>9</v>
      </c>
      <c r="D5" s="33"/>
      <c r="E5" s="35">
        <v>120000.0</v>
      </c>
      <c r="F5" s="3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2"/>
      <c r="B6" s="33" t="s">
        <v>56</v>
      </c>
      <c r="C6" s="34" t="s">
        <v>9</v>
      </c>
      <c r="D6" s="33"/>
      <c r="E6" s="35">
        <v>90000.0</v>
      </c>
      <c r="F6" s="3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2"/>
      <c r="B7" s="33" t="s">
        <v>60</v>
      </c>
      <c r="C7" s="34" t="s">
        <v>9</v>
      </c>
      <c r="D7" s="33"/>
      <c r="E7" s="35">
        <v>60000.0</v>
      </c>
      <c r="F7" s="3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2"/>
      <c r="B8" s="33" t="s">
        <v>63</v>
      </c>
      <c r="C8" s="34" t="s">
        <v>9</v>
      </c>
      <c r="D8" s="33"/>
      <c r="E8" s="35">
        <v>200000.0</v>
      </c>
      <c r="F8" s="3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2"/>
      <c r="B9" s="33" t="s">
        <v>67</v>
      </c>
      <c r="C9" s="34" t="s">
        <v>9</v>
      </c>
      <c r="D9" s="33"/>
      <c r="E9" s="35">
        <v>40000.0</v>
      </c>
      <c r="F9" s="3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2"/>
      <c r="B10" s="33" t="s">
        <v>69</v>
      </c>
      <c r="C10" s="34" t="s">
        <v>9</v>
      </c>
      <c r="D10" s="33"/>
      <c r="E10" s="35">
        <v>70000.0</v>
      </c>
      <c r="F10" s="3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2"/>
      <c r="B11" s="33" t="s">
        <v>71</v>
      </c>
      <c r="C11" s="34" t="s">
        <v>9</v>
      </c>
      <c r="D11" s="33"/>
      <c r="E11" s="35">
        <v>45000.0</v>
      </c>
      <c r="F11" s="3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2"/>
      <c r="B12" s="33" t="s">
        <v>73</v>
      </c>
      <c r="C12" s="34"/>
      <c r="D12" s="33"/>
      <c r="E12" s="35"/>
      <c r="F12" s="36">
        <v>80000.0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2"/>
      <c r="B13" s="33" t="s">
        <v>76</v>
      </c>
      <c r="C13" s="34"/>
      <c r="D13" s="33"/>
      <c r="E13" s="35"/>
      <c r="F13" s="36">
        <v>40000.0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2"/>
      <c r="B14" s="33" t="s">
        <v>79</v>
      </c>
      <c r="C14" s="34"/>
      <c r="D14" s="33"/>
      <c r="E14" s="35"/>
      <c r="F14" s="36">
        <v>450000.0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2"/>
      <c r="B15" s="33" t="s">
        <v>83</v>
      </c>
      <c r="C15" s="34"/>
      <c r="D15" s="33"/>
      <c r="E15" s="35"/>
      <c r="F15" s="36">
        <v>100000.0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7"/>
      <c r="B16" s="38" t="s">
        <v>90</v>
      </c>
      <c r="C16" s="39"/>
      <c r="D16" s="38"/>
      <c r="E16" s="40"/>
      <c r="F16" s="4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4">
        <v>46083.0</v>
      </c>
      <c r="B17" s="33" t="s">
        <v>100</v>
      </c>
      <c r="C17" s="34" t="s">
        <v>9</v>
      </c>
      <c r="D17" s="33"/>
      <c r="E17" s="35">
        <v>110000.0</v>
      </c>
      <c r="F17" s="3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2"/>
      <c r="B18" s="33" t="s">
        <v>73</v>
      </c>
      <c r="C18" s="34"/>
      <c r="D18" s="33"/>
      <c r="E18" s="35"/>
      <c r="F18" s="36">
        <f>E17</f>
        <v>110000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2"/>
      <c r="B19" s="33" t="s">
        <v>117</v>
      </c>
      <c r="C19" s="34"/>
      <c r="D19" s="33"/>
      <c r="E19" s="35"/>
      <c r="F19" s="3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7">
        <v>46084.0</v>
      </c>
      <c r="B20" s="28" t="s">
        <v>100</v>
      </c>
      <c r="C20" s="29" t="s">
        <v>9</v>
      </c>
      <c r="D20" s="28"/>
      <c r="E20" s="30">
        <v>35000.0</v>
      </c>
      <c r="F20" s="3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2"/>
      <c r="B21" s="33" t="s">
        <v>125</v>
      </c>
      <c r="C21" s="34"/>
      <c r="D21" s="33"/>
      <c r="E21" s="35"/>
      <c r="F21" s="36">
        <f>E20</f>
        <v>35000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7"/>
      <c r="B22" s="38" t="s">
        <v>135</v>
      </c>
      <c r="C22" s="39"/>
      <c r="D22" s="38"/>
      <c r="E22" s="40"/>
      <c r="F22" s="4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4">
        <v>46085.0</v>
      </c>
      <c r="B23" s="33" t="s">
        <v>69</v>
      </c>
      <c r="C23" s="34" t="s">
        <v>9</v>
      </c>
      <c r="D23" s="33"/>
      <c r="E23" s="35">
        <v>160000.0</v>
      </c>
      <c r="F23" s="3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2"/>
      <c r="B24" s="33" t="s">
        <v>146</v>
      </c>
      <c r="C24" s="34"/>
      <c r="D24" s="33"/>
      <c r="E24" s="35"/>
      <c r="F24" s="36">
        <f>E23</f>
        <v>160000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2"/>
      <c r="B25" s="33" t="s">
        <v>154</v>
      </c>
      <c r="C25" s="34"/>
      <c r="D25" s="33"/>
      <c r="E25" s="35"/>
      <c r="F25" s="3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7">
        <v>46086.0</v>
      </c>
      <c r="B26" s="28" t="s">
        <v>36</v>
      </c>
      <c r="C26" s="29" t="s">
        <v>9</v>
      </c>
      <c r="D26" s="28"/>
      <c r="E26" s="30">
        <v>75000.0</v>
      </c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2"/>
      <c r="B27" s="33" t="s">
        <v>146</v>
      </c>
      <c r="C27" s="34"/>
      <c r="D27" s="33"/>
      <c r="E27" s="35"/>
      <c r="F27" s="36">
        <f>E26</f>
        <v>75000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7"/>
      <c r="B28" s="38" t="s">
        <v>167</v>
      </c>
      <c r="C28" s="39"/>
      <c r="D28" s="38"/>
      <c r="E28" s="40"/>
      <c r="F28" s="4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4">
        <v>46087.0</v>
      </c>
      <c r="B29" s="33" t="s">
        <v>171</v>
      </c>
      <c r="C29" s="34" t="s">
        <v>9</v>
      </c>
      <c r="D29" s="33"/>
      <c r="E29" s="35">
        <v>4500.0</v>
      </c>
      <c r="F29" s="3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2"/>
      <c r="B30" s="33" t="s">
        <v>125</v>
      </c>
      <c r="C30" s="34"/>
      <c r="D30" s="33"/>
      <c r="E30" s="35"/>
      <c r="F30" s="36">
        <v>45000.0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2"/>
      <c r="B31" s="33" t="s">
        <v>180</v>
      </c>
      <c r="C31" s="34"/>
      <c r="D31" s="33"/>
      <c r="E31" s="35"/>
      <c r="F31" s="3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27">
        <v>46088.0</v>
      </c>
      <c r="B32" s="28" t="s">
        <v>183</v>
      </c>
      <c r="C32" s="29" t="s">
        <v>9</v>
      </c>
      <c r="D32" s="28"/>
      <c r="E32" s="30">
        <v>15000.0</v>
      </c>
      <c r="F32" s="3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2"/>
      <c r="B33" s="33" t="s">
        <v>125</v>
      </c>
      <c r="C33" s="34"/>
      <c r="D33" s="33"/>
      <c r="E33" s="35"/>
      <c r="F33" s="36">
        <f>E32</f>
        <v>15000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7"/>
      <c r="B34" s="38" t="s">
        <v>189</v>
      </c>
      <c r="C34" s="39"/>
      <c r="D34" s="38"/>
      <c r="E34" s="40"/>
      <c r="F34" s="4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4">
        <v>46089.0</v>
      </c>
      <c r="B35" s="33" t="s">
        <v>191</v>
      </c>
      <c r="C35" s="34" t="s">
        <v>9</v>
      </c>
      <c r="D35" s="33"/>
      <c r="E35" s="35">
        <v>12000.0</v>
      </c>
      <c r="F35" s="3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2"/>
      <c r="B36" s="33" t="s">
        <v>193</v>
      </c>
      <c r="C36" s="34"/>
      <c r="D36" s="33"/>
      <c r="E36" s="35"/>
      <c r="F36" s="36">
        <f>E35</f>
        <v>12000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2"/>
      <c r="B37" s="33" t="s">
        <v>196</v>
      </c>
      <c r="C37" s="34"/>
      <c r="D37" s="33"/>
      <c r="E37" s="35"/>
      <c r="F37" s="3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27">
        <v>46090.0</v>
      </c>
      <c r="B38" s="28" t="s">
        <v>197</v>
      </c>
      <c r="C38" s="29" t="s">
        <v>9</v>
      </c>
      <c r="D38" s="28"/>
      <c r="E38" s="30">
        <v>10000.0</v>
      </c>
      <c r="F38" s="3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2"/>
      <c r="B39" s="33" t="s">
        <v>198</v>
      </c>
      <c r="C39" s="34"/>
      <c r="D39" s="33"/>
      <c r="E39" s="35"/>
      <c r="F39" s="36">
        <f>E38</f>
        <v>10000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7"/>
      <c r="B40" s="38" t="s">
        <v>199</v>
      </c>
      <c r="C40" s="39"/>
      <c r="D40" s="38"/>
      <c r="E40" s="40"/>
      <c r="F40" s="4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4">
        <v>46091.0</v>
      </c>
      <c r="B41" s="33" t="s">
        <v>200</v>
      </c>
      <c r="C41" s="34" t="s">
        <v>9</v>
      </c>
      <c r="D41" s="33"/>
      <c r="E41" s="35">
        <v>50000.0</v>
      </c>
      <c r="F41" s="3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2"/>
      <c r="B42" s="33" t="s">
        <v>201</v>
      </c>
      <c r="C42" s="34"/>
      <c r="D42" s="33"/>
      <c r="E42" s="35"/>
      <c r="F42" s="36">
        <f>E41</f>
        <v>50000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2"/>
      <c r="B43" s="33" t="s">
        <v>202</v>
      </c>
      <c r="C43" s="34"/>
      <c r="D43" s="33"/>
      <c r="E43" s="35"/>
      <c r="F43" s="3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27">
        <v>46092.0</v>
      </c>
      <c r="B44" s="28" t="s">
        <v>204</v>
      </c>
      <c r="C44" s="29" t="s">
        <v>9</v>
      </c>
      <c r="D44" s="28"/>
      <c r="E44" s="30">
        <v>22000.0</v>
      </c>
      <c r="F44" s="3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2"/>
      <c r="B45" s="33" t="s">
        <v>125</v>
      </c>
      <c r="C45" s="34"/>
      <c r="D45" s="33"/>
      <c r="E45" s="35"/>
      <c r="F45" s="36">
        <f>E44</f>
        <v>22000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7"/>
      <c r="B46" s="38" t="s">
        <v>205</v>
      </c>
      <c r="C46" s="39"/>
      <c r="D46" s="38"/>
      <c r="E46" s="40"/>
      <c r="F46" s="4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4">
        <v>46093.0</v>
      </c>
      <c r="B47" s="33" t="s">
        <v>36</v>
      </c>
      <c r="C47" s="34" t="s">
        <v>9</v>
      </c>
      <c r="D47" s="33"/>
      <c r="E47" s="35">
        <v>210000.0</v>
      </c>
      <c r="F47" s="3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2"/>
      <c r="B48" s="33" t="s">
        <v>206</v>
      </c>
      <c r="C48" s="34" t="s">
        <v>9</v>
      </c>
      <c r="D48" s="33"/>
      <c r="E48" s="35">
        <v>6000.0</v>
      </c>
      <c r="F48" s="3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2"/>
      <c r="B49" s="33" t="s">
        <v>198</v>
      </c>
      <c r="C49" s="34"/>
      <c r="D49" s="33"/>
      <c r="E49" s="35"/>
      <c r="F49" s="36">
        <f>E47+E48</f>
        <v>216000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2"/>
      <c r="B50" s="33" t="s">
        <v>207</v>
      </c>
      <c r="C50" s="34"/>
      <c r="D50" s="33"/>
      <c r="E50" s="35"/>
      <c r="F50" s="3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27">
        <v>46094.0</v>
      </c>
      <c r="B51" s="28" t="s">
        <v>191</v>
      </c>
      <c r="C51" s="29" t="s">
        <v>9</v>
      </c>
      <c r="D51" s="28"/>
      <c r="E51" s="30">
        <v>157000.0</v>
      </c>
      <c r="F51" s="3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2"/>
      <c r="B52" s="33" t="s">
        <v>208</v>
      </c>
      <c r="C52" s="34"/>
      <c r="D52" s="33"/>
      <c r="E52" s="35"/>
      <c r="F52" s="36">
        <v>7000.0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7"/>
      <c r="B53" s="38" t="s">
        <v>201</v>
      </c>
      <c r="C53" s="39"/>
      <c r="D53" s="38"/>
      <c r="E53" s="40"/>
      <c r="F53" s="42">
        <v>150000.0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2"/>
      <c r="B54" s="33" t="s">
        <v>209</v>
      </c>
      <c r="C54" s="34"/>
      <c r="D54" s="33"/>
      <c r="E54" s="35"/>
      <c r="F54" s="3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4">
        <v>46095.0</v>
      </c>
      <c r="B55" s="33" t="s">
        <v>211</v>
      </c>
      <c r="C55" s="34" t="s">
        <v>9</v>
      </c>
      <c r="D55" s="33"/>
      <c r="E55" s="35">
        <v>18000.0</v>
      </c>
      <c r="F55" s="3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2"/>
      <c r="B56" s="33" t="s">
        <v>125</v>
      </c>
      <c r="C56" s="34"/>
      <c r="D56" s="33"/>
      <c r="E56" s="35"/>
      <c r="F56" s="36">
        <f>E55</f>
        <v>18000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2"/>
      <c r="B57" s="33" t="s">
        <v>214</v>
      </c>
      <c r="C57" s="34"/>
      <c r="D57" s="33"/>
      <c r="E57" s="35"/>
      <c r="F57" s="3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27">
        <v>46096.0</v>
      </c>
      <c r="B58" s="28" t="s">
        <v>100</v>
      </c>
      <c r="C58" s="29" t="s">
        <v>9</v>
      </c>
      <c r="D58" s="28"/>
      <c r="E58" s="30">
        <v>85000.0</v>
      </c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2"/>
      <c r="B59" s="33" t="s">
        <v>76</v>
      </c>
      <c r="C59" s="34"/>
      <c r="D59" s="33"/>
      <c r="E59" s="35"/>
      <c r="F59" s="36">
        <f>E58</f>
        <v>85000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7"/>
      <c r="B60" s="38" t="s">
        <v>215</v>
      </c>
      <c r="C60" s="39"/>
      <c r="D60" s="38"/>
      <c r="E60" s="40"/>
      <c r="F60" s="4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4">
        <v>46097.0</v>
      </c>
      <c r="B61" s="33" t="s">
        <v>71</v>
      </c>
      <c r="C61" s="34" t="s">
        <v>9</v>
      </c>
      <c r="D61" s="33"/>
      <c r="E61" s="35">
        <v>120000.0</v>
      </c>
      <c r="F61" s="3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32"/>
      <c r="B62" s="33" t="s">
        <v>146</v>
      </c>
      <c r="C62" s="34"/>
      <c r="D62" s="33"/>
      <c r="E62" s="35"/>
      <c r="F62" s="36">
        <f>E61</f>
        <v>120000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2"/>
      <c r="B63" s="33" t="s">
        <v>216</v>
      </c>
      <c r="C63" s="34"/>
      <c r="D63" s="33"/>
      <c r="E63" s="35"/>
      <c r="F63" s="3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27">
        <v>46098.0</v>
      </c>
      <c r="B64" s="28" t="s">
        <v>47</v>
      </c>
      <c r="C64" s="29" t="s">
        <v>9</v>
      </c>
      <c r="D64" s="28"/>
      <c r="E64" s="30">
        <v>110000.0</v>
      </c>
      <c r="F64" s="3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2"/>
      <c r="B65" s="33" t="s">
        <v>217</v>
      </c>
      <c r="C65" s="34"/>
      <c r="D65" s="33"/>
      <c r="E65" s="35"/>
      <c r="F65" s="36">
        <f>E64</f>
        <v>110000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7"/>
      <c r="B66" s="38" t="s">
        <v>219</v>
      </c>
      <c r="C66" s="39"/>
      <c r="D66" s="38"/>
      <c r="E66" s="40"/>
      <c r="F66" s="4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4">
        <v>46099.0</v>
      </c>
      <c r="B67" s="33" t="s">
        <v>220</v>
      </c>
      <c r="C67" s="34" t="s">
        <v>9</v>
      </c>
      <c r="D67" s="33"/>
      <c r="E67" s="35">
        <v>5500.0</v>
      </c>
      <c r="F67" s="3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2"/>
      <c r="B68" s="33" t="s">
        <v>125</v>
      </c>
      <c r="C68" s="34"/>
      <c r="D68" s="33"/>
      <c r="E68" s="35"/>
      <c r="F68" s="36">
        <f>E67</f>
        <v>5500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2"/>
      <c r="B69" s="33" t="s">
        <v>222</v>
      </c>
      <c r="C69" s="34"/>
      <c r="D69" s="33"/>
      <c r="E69" s="35"/>
      <c r="F69" s="3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27">
        <v>46100.0</v>
      </c>
      <c r="B70" s="28" t="s">
        <v>36</v>
      </c>
      <c r="C70" s="29" t="s">
        <v>9</v>
      </c>
      <c r="D70" s="28"/>
      <c r="E70" s="30">
        <v>9000.0</v>
      </c>
      <c r="F70" s="3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2"/>
      <c r="B71" s="33" t="s">
        <v>223</v>
      </c>
      <c r="C71" s="34"/>
      <c r="D71" s="33"/>
      <c r="E71" s="35"/>
      <c r="F71" s="36">
        <f>E70</f>
        <v>9000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7"/>
      <c r="B72" s="38" t="s">
        <v>224</v>
      </c>
      <c r="C72" s="39"/>
      <c r="D72" s="38"/>
      <c r="E72" s="40"/>
      <c r="F72" s="4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4">
        <v>46101.0</v>
      </c>
      <c r="B73" s="33" t="s">
        <v>36</v>
      </c>
      <c r="C73" s="34" t="s">
        <v>9</v>
      </c>
      <c r="D73" s="33"/>
      <c r="E73" s="35">
        <v>20000.0</v>
      </c>
      <c r="F73" s="3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32"/>
      <c r="B74" s="33" t="s">
        <v>201</v>
      </c>
      <c r="C74" s="34"/>
      <c r="D74" s="33"/>
      <c r="E74" s="35"/>
      <c r="F74" s="36">
        <f>E73</f>
        <v>20000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32"/>
      <c r="B75" s="33" t="s">
        <v>225</v>
      </c>
      <c r="C75" s="34"/>
      <c r="D75" s="33"/>
      <c r="E75" s="35"/>
      <c r="F75" s="3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27">
        <v>46102.0</v>
      </c>
      <c r="B76" s="28" t="s">
        <v>227</v>
      </c>
      <c r="C76" s="29" t="s">
        <v>9</v>
      </c>
      <c r="D76" s="28"/>
      <c r="E76" s="30">
        <v>12000.0</v>
      </c>
      <c r="F76" s="3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2"/>
      <c r="B77" s="33" t="s">
        <v>125</v>
      </c>
      <c r="C77" s="34"/>
      <c r="D77" s="33"/>
      <c r="E77" s="35"/>
      <c r="F77" s="36">
        <f>E76</f>
        <v>12000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7"/>
      <c r="B78" s="38" t="s">
        <v>228</v>
      </c>
      <c r="C78" s="39"/>
      <c r="D78" s="38"/>
      <c r="E78" s="40"/>
      <c r="F78" s="4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4">
        <v>46103.0</v>
      </c>
      <c r="B79" s="33" t="s">
        <v>229</v>
      </c>
      <c r="C79" s="34" t="s">
        <v>9</v>
      </c>
      <c r="D79" s="33"/>
      <c r="E79" s="35">
        <v>6000.0</v>
      </c>
      <c r="F79" s="3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2"/>
      <c r="B80" s="33" t="s">
        <v>201</v>
      </c>
      <c r="C80" s="34"/>
      <c r="D80" s="33"/>
      <c r="E80" s="35"/>
      <c r="F80" s="36">
        <f>E79</f>
        <v>6000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2"/>
      <c r="B81" s="33" t="s">
        <v>231</v>
      </c>
      <c r="C81" s="34"/>
      <c r="D81" s="33"/>
      <c r="E81" s="35"/>
      <c r="F81" s="3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27">
        <v>46104.0</v>
      </c>
      <c r="B82" s="28" t="s">
        <v>232</v>
      </c>
      <c r="C82" s="29" t="s">
        <v>9</v>
      </c>
      <c r="D82" s="28"/>
      <c r="E82" s="30">
        <v>4000.0</v>
      </c>
      <c r="F82" s="3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2"/>
      <c r="B83" s="33" t="s">
        <v>125</v>
      </c>
      <c r="C83" s="34"/>
      <c r="D83" s="33"/>
      <c r="E83" s="35"/>
      <c r="F83" s="36">
        <f>E82</f>
        <v>4000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7"/>
      <c r="B84" s="38" t="s">
        <v>233</v>
      </c>
      <c r="C84" s="39"/>
      <c r="D84" s="38"/>
      <c r="E84" s="40"/>
      <c r="F84" s="4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4">
        <v>46105.0</v>
      </c>
      <c r="B85" s="33" t="s">
        <v>47</v>
      </c>
      <c r="C85" s="34" t="s">
        <v>9</v>
      </c>
      <c r="D85" s="33"/>
      <c r="E85" s="35">
        <v>3000.0</v>
      </c>
      <c r="F85" s="3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2"/>
      <c r="B86" s="33" t="s">
        <v>234</v>
      </c>
      <c r="C86" s="34"/>
      <c r="D86" s="33"/>
      <c r="E86" s="35"/>
      <c r="F86" s="36">
        <f>E85</f>
        <v>3000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2"/>
      <c r="B87" s="33" t="s">
        <v>236</v>
      </c>
      <c r="C87" s="34"/>
      <c r="D87" s="33"/>
      <c r="E87" s="35"/>
      <c r="F87" s="3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27">
        <v>46106.0</v>
      </c>
      <c r="B88" s="28" t="s">
        <v>100</v>
      </c>
      <c r="C88" s="29" t="s">
        <v>9</v>
      </c>
      <c r="D88" s="28"/>
      <c r="E88" s="30">
        <v>30000.0</v>
      </c>
      <c r="F88" s="3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2"/>
      <c r="B89" s="33" t="s">
        <v>125</v>
      </c>
      <c r="C89" s="34"/>
      <c r="D89" s="33"/>
      <c r="E89" s="35"/>
      <c r="F89" s="36">
        <f>E88</f>
        <v>30000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7"/>
      <c r="B90" s="38" t="s">
        <v>135</v>
      </c>
      <c r="C90" s="39"/>
      <c r="D90" s="38"/>
      <c r="E90" s="40"/>
      <c r="F90" s="4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4">
        <v>46107.0</v>
      </c>
      <c r="B91" s="33" t="s">
        <v>237</v>
      </c>
      <c r="C91" s="34" t="s">
        <v>9</v>
      </c>
      <c r="D91" s="33"/>
      <c r="E91" s="35">
        <v>8500.0</v>
      </c>
      <c r="F91" s="3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2"/>
      <c r="B92" s="33" t="s">
        <v>125</v>
      </c>
      <c r="C92" s="34"/>
      <c r="D92" s="33"/>
      <c r="E92" s="35"/>
      <c r="F92" s="36">
        <f>E91</f>
        <v>8500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2"/>
      <c r="B93" s="33" t="s">
        <v>238</v>
      </c>
      <c r="C93" s="34"/>
      <c r="D93" s="33"/>
      <c r="E93" s="35"/>
      <c r="F93" s="3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27">
        <v>46108.0</v>
      </c>
      <c r="B94" s="28" t="s">
        <v>239</v>
      </c>
      <c r="C94" s="29" t="s">
        <v>9</v>
      </c>
      <c r="D94" s="28"/>
      <c r="E94" s="30">
        <v>2500.0</v>
      </c>
      <c r="F94" s="3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32"/>
      <c r="B95" s="33" t="s">
        <v>125</v>
      </c>
      <c r="C95" s="34"/>
      <c r="D95" s="33"/>
      <c r="E95" s="35"/>
      <c r="F95" s="36">
        <f>E94</f>
        <v>2500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7"/>
      <c r="B96" s="38" t="s">
        <v>240</v>
      </c>
      <c r="C96" s="39"/>
      <c r="D96" s="38"/>
      <c r="E96" s="40"/>
      <c r="F96" s="4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4">
        <v>46109.0</v>
      </c>
      <c r="B97" s="33" t="s">
        <v>60</v>
      </c>
      <c r="C97" s="34" t="s">
        <v>9</v>
      </c>
      <c r="D97" s="33"/>
      <c r="E97" s="35">
        <v>25000.0</v>
      </c>
      <c r="F97" s="3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2"/>
      <c r="B98" s="33" t="s">
        <v>125</v>
      </c>
      <c r="C98" s="34"/>
      <c r="D98" s="33"/>
      <c r="E98" s="35"/>
      <c r="F98" s="36">
        <f>E97</f>
        <v>25000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2"/>
      <c r="B99" s="33" t="s">
        <v>241</v>
      </c>
      <c r="C99" s="34"/>
      <c r="D99" s="33"/>
      <c r="E99" s="35"/>
      <c r="F99" s="3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27">
        <v>46110.0</v>
      </c>
      <c r="B100" s="28" t="s">
        <v>242</v>
      </c>
      <c r="C100" s="29" t="s">
        <v>9</v>
      </c>
      <c r="D100" s="28"/>
      <c r="E100" s="30">
        <v>5000.0</v>
      </c>
      <c r="F100" s="3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2"/>
      <c r="B101" s="33" t="s">
        <v>125</v>
      </c>
      <c r="C101" s="34"/>
      <c r="D101" s="33"/>
      <c r="E101" s="35"/>
      <c r="F101" s="36">
        <f>E100</f>
        <v>5000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7"/>
      <c r="B102" s="38" t="s">
        <v>244</v>
      </c>
      <c r="C102" s="39"/>
      <c r="D102" s="38"/>
      <c r="E102" s="40"/>
      <c r="F102" s="4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4">
        <v>46111.0</v>
      </c>
      <c r="B103" s="33" t="s">
        <v>47</v>
      </c>
      <c r="C103" s="34" t="s">
        <v>9</v>
      </c>
      <c r="D103" s="33"/>
      <c r="E103" s="35">
        <v>40000.0</v>
      </c>
      <c r="F103" s="3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2"/>
      <c r="B104" s="33" t="s">
        <v>125</v>
      </c>
      <c r="C104" s="34"/>
      <c r="D104" s="33"/>
      <c r="E104" s="35"/>
      <c r="F104" s="36">
        <f>E103</f>
        <v>40000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7"/>
      <c r="B105" s="38" t="s">
        <v>246</v>
      </c>
      <c r="C105" s="39"/>
      <c r="D105" s="38"/>
      <c r="E105" s="40"/>
      <c r="F105" s="4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7"/>
      <c r="F999" s="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7"/>
      <c r="F1000" s="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4.75"/>
    <col customWidth="1" min="3" max="3" width="3.38"/>
    <col customWidth="1" min="4" max="4" width="17.5"/>
    <col customWidth="1" min="5" max="5" width="10.38"/>
    <col customWidth="1" min="6" max="6" width="34.75"/>
    <col customWidth="1" min="7" max="7" width="3.38"/>
    <col customWidth="1" min="8" max="8" width="17.5"/>
    <col customWidth="1" min="9" max="26" width="8.63"/>
  </cols>
  <sheetData>
    <row r="1" ht="13.5" customHeight="1">
      <c r="A1" s="2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4"/>
      <c r="C2" s="4"/>
      <c r="D2" s="7"/>
      <c r="E2" s="4"/>
      <c r="F2" s="4"/>
      <c r="G2" s="4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/>
      <c r="B3" s="4"/>
      <c r="C3" s="4"/>
      <c r="D3" s="7"/>
      <c r="E3" s="4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0" t="s">
        <v>9</v>
      </c>
      <c r="B4" s="12" t="s">
        <v>12</v>
      </c>
      <c r="C4" s="14"/>
      <c r="D4" s="14"/>
      <c r="E4" s="14"/>
      <c r="F4" s="14"/>
      <c r="G4" s="14"/>
      <c r="H4" s="16" t="s">
        <v>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9" t="s">
        <v>8</v>
      </c>
      <c r="B5" s="9" t="s">
        <v>11</v>
      </c>
      <c r="C5" s="9" t="s">
        <v>22</v>
      </c>
      <c r="D5" s="11" t="s">
        <v>24</v>
      </c>
      <c r="E5" s="9" t="s">
        <v>8</v>
      </c>
      <c r="F5" s="9" t="s">
        <v>25</v>
      </c>
      <c r="G5" s="9" t="s">
        <v>22</v>
      </c>
      <c r="H5" s="11" t="s">
        <v>24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4">
        <v>46082.0</v>
      </c>
      <c r="B6" s="26" t="s">
        <v>30</v>
      </c>
      <c r="C6" s="20"/>
      <c r="D6" s="21">
        <v>80000.0</v>
      </c>
      <c r="E6" s="24">
        <v>46082.0</v>
      </c>
      <c r="F6" s="26" t="s">
        <v>34</v>
      </c>
      <c r="G6" s="20"/>
      <c r="H6" s="21">
        <v>45000.0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4">
        <v>46082.0</v>
      </c>
      <c r="B7" s="26" t="s">
        <v>37</v>
      </c>
      <c r="C7" s="20"/>
      <c r="D7" s="21">
        <v>40000.0</v>
      </c>
      <c r="E7" s="24">
        <v>46082.0</v>
      </c>
      <c r="F7" s="26" t="s">
        <v>40</v>
      </c>
      <c r="G7" s="20"/>
      <c r="H7" s="21">
        <v>120000.0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24">
        <v>46082.0</v>
      </c>
      <c r="B8" s="26" t="s">
        <v>43</v>
      </c>
      <c r="C8" s="20"/>
      <c r="D8" s="21">
        <v>100000.0</v>
      </c>
      <c r="E8" s="24">
        <v>46082.0</v>
      </c>
      <c r="F8" s="26" t="s">
        <v>44</v>
      </c>
      <c r="G8" s="20"/>
      <c r="H8" s="21">
        <v>90000.0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24">
        <v>46112.0</v>
      </c>
      <c r="B9" s="20" t="s">
        <v>48</v>
      </c>
      <c r="C9" s="20"/>
      <c r="D9" s="21">
        <v>450000.0</v>
      </c>
      <c r="E9" s="24">
        <v>46082.0</v>
      </c>
      <c r="F9" s="26" t="s">
        <v>50</v>
      </c>
      <c r="G9" s="20"/>
      <c r="H9" s="21">
        <v>60000.0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0"/>
      <c r="B10" s="20"/>
      <c r="C10" s="20"/>
      <c r="D10" s="21"/>
      <c r="E10" s="24">
        <v>46082.0</v>
      </c>
      <c r="F10" s="26" t="s">
        <v>53</v>
      </c>
      <c r="G10" s="20"/>
      <c r="H10" s="21">
        <v>200000.0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0"/>
      <c r="B11" s="20"/>
      <c r="C11" s="20"/>
      <c r="D11" s="21"/>
      <c r="E11" s="24">
        <v>46082.0</v>
      </c>
      <c r="F11" s="26" t="s">
        <v>58</v>
      </c>
      <c r="G11" s="20"/>
      <c r="H11" s="21">
        <v>40000.0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0"/>
      <c r="B12" s="20"/>
      <c r="C12" s="20"/>
      <c r="D12" s="21"/>
      <c r="E12" s="24">
        <v>46082.0</v>
      </c>
      <c r="F12" s="26" t="s">
        <v>62</v>
      </c>
      <c r="G12" s="20"/>
      <c r="H12" s="21">
        <v>70000.0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0"/>
      <c r="B13" s="20"/>
      <c r="C13" s="20"/>
      <c r="D13" s="21"/>
      <c r="E13" s="24">
        <v>46082.0</v>
      </c>
      <c r="F13" s="26" t="s">
        <v>66</v>
      </c>
      <c r="G13" s="20"/>
      <c r="H13" s="21">
        <v>45000.0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0"/>
      <c r="B14" s="20"/>
      <c r="C14" s="20"/>
      <c r="D14" s="21"/>
      <c r="E14" s="24"/>
      <c r="F14" s="26"/>
      <c r="G14" s="20"/>
      <c r="H14" s="2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0"/>
      <c r="B15" s="20"/>
      <c r="C15" s="20"/>
      <c r="D15" s="41">
        <f>SUM(D6:D13)</f>
        <v>670000</v>
      </c>
      <c r="E15" s="20"/>
      <c r="F15" s="20"/>
      <c r="G15" s="20"/>
      <c r="H15" s="41">
        <f>SUM(H6:H13)</f>
        <v>670000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0"/>
      <c r="B16" s="20"/>
      <c r="C16" s="20"/>
      <c r="D16" s="21"/>
      <c r="E16" s="24">
        <v>46113.0</v>
      </c>
      <c r="F16" s="20" t="s">
        <v>104</v>
      </c>
      <c r="G16" s="20"/>
      <c r="H16" s="21">
        <v>450000.0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7"/>
      <c r="E17" s="45"/>
      <c r="F17" s="4"/>
      <c r="G17" s="4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8"/>
      <c r="B18" s="4"/>
      <c r="C18" s="4"/>
      <c r="D18" s="7"/>
      <c r="E18" s="4"/>
      <c r="F18" s="4"/>
      <c r="G18" s="4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" t="s">
        <v>9</v>
      </c>
      <c r="B19" s="12" t="s">
        <v>36</v>
      </c>
      <c r="C19" s="14"/>
      <c r="D19" s="14"/>
      <c r="E19" s="14"/>
      <c r="F19" s="14"/>
      <c r="G19" s="14"/>
      <c r="H19" s="16" t="s">
        <v>17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9" t="s">
        <v>8</v>
      </c>
      <c r="B20" s="9" t="s">
        <v>11</v>
      </c>
      <c r="C20" s="9" t="s">
        <v>22</v>
      </c>
      <c r="D20" s="11" t="s">
        <v>24</v>
      </c>
      <c r="E20" s="9" t="s">
        <v>8</v>
      </c>
      <c r="F20" s="9" t="s">
        <v>25</v>
      </c>
      <c r="G20" s="9" t="s">
        <v>22</v>
      </c>
      <c r="H20" s="11" t="s">
        <v>24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4">
        <v>46082.0</v>
      </c>
      <c r="B21" s="20" t="s">
        <v>48</v>
      </c>
      <c r="C21" s="20"/>
      <c r="D21" s="21">
        <v>45000.0</v>
      </c>
      <c r="E21" s="24">
        <v>46084.0</v>
      </c>
      <c r="F21" s="20" t="s">
        <v>131</v>
      </c>
      <c r="G21" s="20"/>
      <c r="H21" s="21">
        <v>35000.0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24">
        <v>46086.0</v>
      </c>
      <c r="B22" s="20" t="s">
        <v>136</v>
      </c>
      <c r="C22" s="20"/>
      <c r="D22" s="21">
        <v>75000.0</v>
      </c>
      <c r="E22" s="24">
        <v>46087.0</v>
      </c>
      <c r="F22" s="20" t="s">
        <v>138</v>
      </c>
      <c r="G22" s="20"/>
      <c r="H22" s="21">
        <v>4500.0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4">
        <v>46093.0</v>
      </c>
      <c r="B23" s="20" t="s">
        <v>142</v>
      </c>
      <c r="C23" s="20"/>
      <c r="D23" s="21">
        <v>210000.0</v>
      </c>
      <c r="E23" s="24">
        <v>46088.0</v>
      </c>
      <c r="F23" s="20" t="s">
        <v>143</v>
      </c>
      <c r="G23" s="20"/>
      <c r="H23" s="21">
        <v>15000.0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4">
        <v>46100.0</v>
      </c>
      <c r="B24" s="20" t="s">
        <v>148</v>
      </c>
      <c r="C24" s="20"/>
      <c r="D24" s="21">
        <v>9000.0</v>
      </c>
      <c r="E24" s="24">
        <v>46092.0</v>
      </c>
      <c r="F24" s="20" t="s">
        <v>150</v>
      </c>
      <c r="G24" s="20"/>
      <c r="H24" s="21">
        <v>22000.0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4">
        <v>46101.0</v>
      </c>
      <c r="B25" s="20" t="s">
        <v>155</v>
      </c>
      <c r="C25" s="20"/>
      <c r="D25" s="21">
        <v>20000.0</v>
      </c>
      <c r="E25" s="24">
        <v>46095.0</v>
      </c>
      <c r="F25" s="20" t="s">
        <v>156</v>
      </c>
      <c r="G25" s="20"/>
      <c r="H25" s="21">
        <v>18000.0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0"/>
      <c r="B26" s="20"/>
      <c r="C26" s="20"/>
      <c r="D26" s="21"/>
      <c r="E26" s="24">
        <v>46099.0</v>
      </c>
      <c r="F26" s="20" t="s">
        <v>159</v>
      </c>
      <c r="G26" s="20"/>
      <c r="H26" s="21">
        <v>5500.0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0"/>
      <c r="B27" s="20"/>
      <c r="C27" s="20"/>
      <c r="D27" s="21"/>
      <c r="E27" s="24">
        <v>46102.0</v>
      </c>
      <c r="F27" s="20" t="s">
        <v>163</v>
      </c>
      <c r="G27" s="20"/>
      <c r="H27" s="21">
        <v>12000.0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20"/>
      <c r="B28" s="20"/>
      <c r="C28" s="20"/>
      <c r="D28" s="21"/>
      <c r="E28" s="24">
        <v>46104.0</v>
      </c>
      <c r="F28" s="20" t="s">
        <v>168</v>
      </c>
      <c r="G28" s="20"/>
      <c r="H28" s="21">
        <v>4000.0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0"/>
      <c r="B29" s="20"/>
      <c r="C29" s="20"/>
      <c r="D29" s="21"/>
      <c r="E29" s="24">
        <v>46106.0</v>
      </c>
      <c r="F29" s="20" t="s">
        <v>131</v>
      </c>
      <c r="G29" s="20"/>
      <c r="H29" s="21">
        <v>30000.0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0"/>
      <c r="B30" s="20"/>
      <c r="C30" s="20"/>
      <c r="D30" s="21"/>
      <c r="E30" s="24">
        <v>46107.0</v>
      </c>
      <c r="F30" s="20" t="s">
        <v>174</v>
      </c>
      <c r="G30" s="20"/>
      <c r="H30" s="21">
        <v>8500.0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0"/>
      <c r="B31" s="20"/>
      <c r="C31" s="20"/>
      <c r="D31" s="21"/>
      <c r="E31" s="24">
        <v>46108.0</v>
      </c>
      <c r="F31" s="20" t="s">
        <v>179</v>
      </c>
      <c r="G31" s="20"/>
      <c r="H31" s="21">
        <v>2500.0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20"/>
      <c r="B32" s="20"/>
      <c r="C32" s="20"/>
      <c r="D32" s="21"/>
      <c r="E32" s="24">
        <v>46109.0</v>
      </c>
      <c r="F32" s="20" t="s">
        <v>50</v>
      </c>
      <c r="G32" s="20"/>
      <c r="H32" s="21">
        <v>25000.0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20"/>
      <c r="B33" s="20"/>
      <c r="C33" s="20"/>
      <c r="D33" s="21"/>
      <c r="E33" s="24">
        <v>46110.0</v>
      </c>
      <c r="F33" s="20" t="s">
        <v>182</v>
      </c>
      <c r="G33" s="20"/>
      <c r="H33" s="21">
        <v>5000.0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0"/>
      <c r="B34" s="20"/>
      <c r="C34" s="20"/>
      <c r="D34" s="21"/>
      <c r="E34" s="24">
        <v>46111.0</v>
      </c>
      <c r="F34" s="20" t="s">
        <v>40</v>
      </c>
      <c r="G34" s="20"/>
      <c r="H34" s="21">
        <v>40000.0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0"/>
      <c r="B35" s="20"/>
      <c r="C35" s="20"/>
      <c r="D35" s="21"/>
      <c r="E35" s="24">
        <v>46112.0</v>
      </c>
      <c r="F35" s="20" t="s">
        <v>187</v>
      </c>
      <c r="G35" s="20"/>
      <c r="H35" s="21">
        <v>132000.0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20"/>
      <c r="B36" s="20"/>
      <c r="C36" s="20"/>
      <c r="D36" s="21"/>
      <c r="E36" s="24"/>
      <c r="F36" s="20"/>
      <c r="G36" s="20"/>
      <c r="H36" s="2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20"/>
      <c r="B37" s="20"/>
      <c r="C37" s="20"/>
      <c r="D37" s="41">
        <f>SUM(D21:D35)</f>
        <v>359000</v>
      </c>
      <c r="E37" s="20"/>
      <c r="F37" s="20"/>
      <c r="G37" s="20"/>
      <c r="H37" s="41">
        <f>SUM(H21:H35)</f>
        <v>359000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24">
        <v>46113.0</v>
      </c>
      <c r="B38" s="20" t="s">
        <v>48</v>
      </c>
      <c r="C38" s="20"/>
      <c r="D38" s="21">
        <v>132000.0</v>
      </c>
      <c r="E38" s="20"/>
      <c r="F38" s="20"/>
      <c r="G38" s="20"/>
      <c r="H38" s="2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5"/>
      <c r="B39" s="4"/>
      <c r="C39" s="4"/>
      <c r="D39" s="7"/>
      <c r="E39" s="4"/>
      <c r="F39" s="4"/>
      <c r="G39" s="4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8"/>
      <c r="B40" s="4"/>
      <c r="C40" s="4"/>
      <c r="D40" s="7"/>
      <c r="E40" s="4"/>
      <c r="F40" s="4"/>
      <c r="G40" s="4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0" t="s">
        <v>9</v>
      </c>
      <c r="B41" s="12" t="s">
        <v>100</v>
      </c>
      <c r="C41" s="14"/>
      <c r="D41" s="14"/>
      <c r="E41" s="14"/>
      <c r="F41" s="14"/>
      <c r="G41" s="14"/>
      <c r="H41" s="16" t="s">
        <v>17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9" t="s">
        <v>8</v>
      </c>
      <c r="B42" s="9" t="s">
        <v>11</v>
      </c>
      <c r="C42" s="9" t="s">
        <v>22</v>
      </c>
      <c r="D42" s="11" t="s">
        <v>24</v>
      </c>
      <c r="E42" s="9" t="s">
        <v>8</v>
      </c>
      <c r="F42" s="9" t="s">
        <v>25</v>
      </c>
      <c r="G42" s="9" t="s">
        <v>22</v>
      </c>
      <c r="H42" s="11" t="s">
        <v>24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24">
        <v>46083.0</v>
      </c>
      <c r="B43" s="20" t="s">
        <v>30</v>
      </c>
      <c r="C43" s="20"/>
      <c r="D43" s="21">
        <v>110000.0</v>
      </c>
      <c r="E43" s="24">
        <v>46112.0</v>
      </c>
      <c r="F43" s="20" t="s">
        <v>187</v>
      </c>
      <c r="G43" s="20"/>
      <c r="H43" s="21">
        <v>260000.0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24">
        <v>46084.0</v>
      </c>
      <c r="B44" s="20" t="s">
        <v>203</v>
      </c>
      <c r="C44" s="20"/>
      <c r="D44" s="21">
        <v>35000.0</v>
      </c>
      <c r="E44" s="20"/>
      <c r="F44" s="20"/>
      <c r="G44" s="20"/>
      <c r="H44" s="2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24">
        <v>46096.0</v>
      </c>
      <c r="B45" s="20" t="s">
        <v>37</v>
      </c>
      <c r="C45" s="20"/>
      <c r="D45" s="21">
        <v>85000.0</v>
      </c>
      <c r="E45" s="20"/>
      <c r="F45" s="20"/>
      <c r="G45" s="20"/>
      <c r="H45" s="2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24">
        <v>46106.0</v>
      </c>
      <c r="B46" s="20" t="s">
        <v>203</v>
      </c>
      <c r="C46" s="20"/>
      <c r="D46" s="21">
        <v>30000.0</v>
      </c>
      <c r="E46" s="20"/>
      <c r="F46" s="20"/>
      <c r="G46" s="20"/>
      <c r="H46" s="2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20"/>
      <c r="B47" s="20"/>
      <c r="C47" s="20"/>
      <c r="D47" s="21"/>
      <c r="E47" s="20"/>
      <c r="F47" s="20"/>
      <c r="G47" s="20"/>
      <c r="H47" s="2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20"/>
      <c r="B48" s="20"/>
      <c r="C48" s="20"/>
      <c r="D48" s="41">
        <f>SUM(D43:D47)</f>
        <v>260000</v>
      </c>
      <c r="E48" s="20"/>
      <c r="F48" s="20"/>
      <c r="G48" s="20"/>
      <c r="H48" s="41">
        <v>260000.0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24">
        <v>46113.0</v>
      </c>
      <c r="B49" s="20" t="s">
        <v>48</v>
      </c>
      <c r="C49" s="20"/>
      <c r="D49" s="21">
        <v>260000.0</v>
      </c>
      <c r="E49" s="20"/>
      <c r="F49" s="20"/>
      <c r="G49" s="20"/>
      <c r="H49" s="2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5"/>
      <c r="B50" s="4"/>
      <c r="C50" s="4"/>
      <c r="D50" s="7"/>
      <c r="E50" s="4"/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8"/>
      <c r="B51" s="4"/>
      <c r="C51" s="4"/>
      <c r="D51" s="7"/>
      <c r="E51" s="4"/>
      <c r="F51" s="4"/>
      <c r="G51" s="4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0" t="s">
        <v>9</v>
      </c>
      <c r="B52" s="12" t="s">
        <v>191</v>
      </c>
      <c r="C52" s="14"/>
      <c r="D52" s="14"/>
      <c r="E52" s="14"/>
      <c r="F52" s="14"/>
      <c r="G52" s="49"/>
      <c r="H52" s="16" t="s">
        <v>17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9" t="s">
        <v>8</v>
      </c>
      <c r="B53" s="9" t="s">
        <v>11</v>
      </c>
      <c r="C53" s="9" t="s">
        <v>22</v>
      </c>
      <c r="D53" s="11" t="s">
        <v>24</v>
      </c>
      <c r="E53" s="9" t="s">
        <v>8</v>
      </c>
      <c r="F53" s="9" t="s">
        <v>25</v>
      </c>
      <c r="G53" s="9" t="s">
        <v>22</v>
      </c>
      <c r="H53" s="11" t="s">
        <v>24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24">
        <v>46089.0</v>
      </c>
      <c r="B54" s="20" t="s">
        <v>210</v>
      </c>
      <c r="C54" s="20"/>
      <c r="D54" s="21">
        <v>12000.0</v>
      </c>
      <c r="E54" s="24">
        <v>46082.0</v>
      </c>
      <c r="F54" s="20" t="s">
        <v>104</v>
      </c>
      <c r="G54" s="20"/>
      <c r="H54" s="21">
        <v>80000.0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24">
        <v>46094.0</v>
      </c>
      <c r="B55" s="20" t="s">
        <v>155</v>
      </c>
      <c r="C55" s="20"/>
      <c r="D55" s="21">
        <v>150000.0</v>
      </c>
      <c r="E55" s="24">
        <v>46083.0</v>
      </c>
      <c r="F55" s="20" t="s">
        <v>131</v>
      </c>
      <c r="G55" s="20"/>
      <c r="H55" s="21">
        <v>110000.0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24">
        <v>46094.0</v>
      </c>
      <c r="B56" s="20" t="s">
        <v>212</v>
      </c>
      <c r="C56" s="20"/>
      <c r="D56" s="21">
        <v>7000.0</v>
      </c>
      <c r="E56" s="20"/>
      <c r="F56" s="20"/>
      <c r="G56" s="20"/>
      <c r="H56" s="2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24">
        <v>46112.0</v>
      </c>
      <c r="B57" s="20" t="s">
        <v>213</v>
      </c>
      <c r="C57" s="20"/>
      <c r="D57" s="21">
        <v>21000.0</v>
      </c>
      <c r="E57" s="20"/>
      <c r="F57" s="20"/>
      <c r="G57" s="20"/>
      <c r="H57" s="2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24"/>
      <c r="B58" s="20"/>
      <c r="C58" s="20"/>
      <c r="D58" s="21"/>
      <c r="E58" s="20"/>
      <c r="F58" s="20"/>
      <c r="G58" s="20"/>
      <c r="H58" s="2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20"/>
      <c r="B59" s="20"/>
      <c r="C59" s="20"/>
      <c r="D59" s="41">
        <f>SUM(D54:D57)</f>
        <v>190000</v>
      </c>
      <c r="E59" s="20"/>
      <c r="F59" s="20"/>
      <c r="G59" s="20"/>
      <c r="H59" s="41">
        <f>SUM(H54:H57)</f>
        <v>190000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20"/>
      <c r="B60" s="20"/>
      <c r="C60" s="20"/>
      <c r="D60" s="21"/>
      <c r="E60" s="24">
        <v>46113.0</v>
      </c>
      <c r="F60" s="20" t="s">
        <v>104</v>
      </c>
      <c r="G60" s="20"/>
      <c r="H60" s="21">
        <v>21000.0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7"/>
      <c r="E61" s="45"/>
      <c r="F61" s="4"/>
      <c r="G61" s="4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8"/>
      <c r="B62" s="4"/>
      <c r="C62" s="4"/>
      <c r="D62" s="7"/>
      <c r="E62" s="4"/>
      <c r="F62" s="4"/>
      <c r="G62" s="4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0" t="s">
        <v>9</v>
      </c>
      <c r="B63" s="12" t="s">
        <v>69</v>
      </c>
      <c r="C63" s="14"/>
      <c r="D63" s="14"/>
      <c r="E63" s="14"/>
      <c r="F63" s="14"/>
      <c r="G63" s="14"/>
      <c r="H63" s="16" t="s">
        <v>17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9" t="s">
        <v>8</v>
      </c>
      <c r="B64" s="9" t="s">
        <v>11</v>
      </c>
      <c r="C64" s="9" t="s">
        <v>22</v>
      </c>
      <c r="D64" s="11" t="s">
        <v>24</v>
      </c>
      <c r="E64" s="9" t="s">
        <v>8</v>
      </c>
      <c r="F64" s="9" t="s">
        <v>25</v>
      </c>
      <c r="G64" s="9" t="s">
        <v>22</v>
      </c>
      <c r="H64" s="11" t="s">
        <v>24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24">
        <v>46082.0</v>
      </c>
      <c r="B65" s="20" t="s">
        <v>48</v>
      </c>
      <c r="C65" s="20"/>
      <c r="D65" s="21">
        <v>70000.0</v>
      </c>
      <c r="E65" s="24">
        <v>46090.0</v>
      </c>
      <c r="F65" s="20" t="s">
        <v>218</v>
      </c>
      <c r="G65" s="20"/>
      <c r="H65" s="21">
        <v>10000.0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24">
        <v>46085.0</v>
      </c>
      <c r="B66" s="20" t="s">
        <v>136</v>
      </c>
      <c r="C66" s="20"/>
      <c r="D66" s="21">
        <v>160000.0</v>
      </c>
      <c r="E66" s="24">
        <v>46093.0</v>
      </c>
      <c r="F66" s="20" t="s">
        <v>34</v>
      </c>
      <c r="G66" s="20"/>
      <c r="H66" s="21">
        <v>210000.0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20"/>
      <c r="B67" s="20"/>
      <c r="C67" s="20"/>
      <c r="D67" s="21"/>
      <c r="E67" s="24">
        <v>46093.0</v>
      </c>
      <c r="F67" s="20" t="s">
        <v>221</v>
      </c>
      <c r="G67" s="20"/>
      <c r="H67" s="21">
        <v>6000.0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20"/>
      <c r="B68" s="20"/>
      <c r="C68" s="20"/>
      <c r="D68" s="21"/>
      <c r="E68" s="24">
        <v>46112.0</v>
      </c>
      <c r="F68" s="20" t="s">
        <v>187</v>
      </c>
      <c r="G68" s="20"/>
      <c r="H68" s="21">
        <v>4000.0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20"/>
      <c r="B69" s="20"/>
      <c r="C69" s="20"/>
      <c r="D69" s="21"/>
      <c r="E69" s="24"/>
      <c r="F69" s="20"/>
      <c r="G69" s="20"/>
      <c r="H69" s="2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20"/>
      <c r="B70" s="20"/>
      <c r="C70" s="20"/>
      <c r="D70" s="41">
        <f>SUM(D65:D68)</f>
        <v>230000</v>
      </c>
      <c r="E70" s="20"/>
      <c r="F70" s="20"/>
      <c r="G70" s="20"/>
      <c r="H70" s="41">
        <f>SUM(H65:H68)</f>
        <v>230000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24">
        <v>46113.0</v>
      </c>
      <c r="B71" s="20" t="s">
        <v>48</v>
      </c>
      <c r="C71" s="20"/>
      <c r="D71" s="21">
        <v>4000.0</v>
      </c>
      <c r="E71" s="20"/>
      <c r="F71" s="20"/>
      <c r="G71" s="20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5"/>
      <c r="B72" s="4"/>
      <c r="C72" s="4"/>
      <c r="D72" s="7"/>
      <c r="E72" s="4"/>
      <c r="F72" s="4"/>
      <c r="G72" s="4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8"/>
      <c r="B73" s="4"/>
      <c r="C73" s="4"/>
      <c r="D73" s="7"/>
      <c r="E73" s="4"/>
      <c r="F73" s="4"/>
      <c r="G73" s="4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0" t="s">
        <v>9</v>
      </c>
      <c r="B74" s="12" t="s">
        <v>226</v>
      </c>
      <c r="C74" s="14"/>
      <c r="D74" s="14"/>
      <c r="E74" s="14"/>
      <c r="F74" s="14"/>
      <c r="G74" s="14"/>
      <c r="H74" s="16" t="s">
        <v>17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9" t="s">
        <v>8</v>
      </c>
      <c r="B75" s="9" t="s">
        <v>11</v>
      </c>
      <c r="C75" s="9" t="s">
        <v>22</v>
      </c>
      <c r="D75" s="11" t="s">
        <v>24</v>
      </c>
      <c r="E75" s="9" t="s">
        <v>8</v>
      </c>
      <c r="F75" s="9" t="s">
        <v>25</v>
      </c>
      <c r="G75" s="9" t="s">
        <v>22</v>
      </c>
      <c r="H75" s="11" t="s">
        <v>24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24">
        <v>46112.0</v>
      </c>
      <c r="B76" s="20" t="s">
        <v>213</v>
      </c>
      <c r="C76" s="20"/>
      <c r="D76" s="21">
        <v>355000.0</v>
      </c>
      <c r="E76" s="24">
        <v>46085.0</v>
      </c>
      <c r="F76" s="20" t="s">
        <v>62</v>
      </c>
      <c r="G76" s="20"/>
      <c r="H76" s="21">
        <v>160000.0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20"/>
      <c r="B77" s="20"/>
      <c r="C77" s="20"/>
      <c r="D77" s="21"/>
      <c r="E77" s="24">
        <v>46086.0</v>
      </c>
      <c r="F77" s="20" t="s">
        <v>34</v>
      </c>
      <c r="G77" s="20"/>
      <c r="H77" s="21">
        <v>75000.0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20"/>
      <c r="B78" s="20"/>
      <c r="C78" s="20"/>
      <c r="D78" s="21"/>
      <c r="E78" s="24">
        <v>46097.0</v>
      </c>
      <c r="F78" s="20" t="s">
        <v>230</v>
      </c>
      <c r="G78" s="20"/>
      <c r="H78" s="21">
        <v>120000.0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20"/>
      <c r="B79" s="20"/>
      <c r="C79" s="20"/>
      <c r="D79" s="21"/>
      <c r="E79" s="20"/>
      <c r="F79" s="20"/>
      <c r="G79" s="20"/>
      <c r="H79" s="2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20"/>
      <c r="B80" s="20"/>
      <c r="C80" s="20"/>
      <c r="D80" s="41">
        <v>355000.0</v>
      </c>
      <c r="E80" s="20"/>
      <c r="F80" s="20"/>
      <c r="G80" s="20"/>
      <c r="H80" s="41">
        <f>SUM(H76:H79)</f>
        <v>355000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20"/>
      <c r="B81" s="20"/>
      <c r="C81" s="20"/>
      <c r="D81" s="21"/>
      <c r="E81" s="24">
        <v>46113.0</v>
      </c>
      <c r="F81" s="20" t="s">
        <v>104</v>
      </c>
      <c r="G81" s="20"/>
      <c r="H81" s="21">
        <v>355000.0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7"/>
      <c r="E82" s="45"/>
      <c r="F82" s="4"/>
      <c r="G82" s="4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8"/>
      <c r="B83" s="4"/>
      <c r="C83" s="4"/>
      <c r="D83" s="7"/>
      <c r="E83" s="4"/>
      <c r="F83" s="4"/>
      <c r="G83" s="4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0" t="s">
        <v>9</v>
      </c>
      <c r="B84" s="12" t="s">
        <v>235</v>
      </c>
      <c r="C84" s="14"/>
      <c r="D84" s="14"/>
      <c r="E84" s="14"/>
      <c r="F84" s="14"/>
      <c r="G84" s="14"/>
      <c r="H84" s="16" t="s">
        <v>17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9" t="s">
        <v>8</v>
      </c>
      <c r="B85" s="9" t="s">
        <v>11</v>
      </c>
      <c r="C85" s="9" t="s">
        <v>22</v>
      </c>
      <c r="D85" s="11" t="s">
        <v>24</v>
      </c>
      <c r="E85" s="9" t="s">
        <v>8</v>
      </c>
      <c r="F85" s="9" t="s">
        <v>25</v>
      </c>
      <c r="G85" s="9" t="s">
        <v>22</v>
      </c>
      <c r="H85" s="11" t="s">
        <v>24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24">
        <v>46087.0</v>
      </c>
      <c r="B86" s="20" t="s">
        <v>203</v>
      </c>
      <c r="C86" s="20"/>
      <c r="D86" s="21">
        <v>4500.0</v>
      </c>
      <c r="E86" s="24">
        <v>46112.0</v>
      </c>
      <c r="F86" s="20" t="s">
        <v>187</v>
      </c>
      <c r="G86" s="20"/>
      <c r="H86" s="21">
        <v>4500.0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20"/>
      <c r="B87" s="20"/>
      <c r="C87" s="20"/>
      <c r="D87" s="21"/>
      <c r="E87" s="20"/>
      <c r="F87" s="20"/>
      <c r="G87" s="20"/>
      <c r="H87" s="2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20"/>
      <c r="B88" s="20"/>
      <c r="C88" s="20"/>
      <c r="D88" s="41">
        <v>4500.0</v>
      </c>
      <c r="E88" s="20"/>
      <c r="F88" s="20"/>
      <c r="G88" s="20"/>
      <c r="H88" s="41">
        <v>4500.0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24">
        <v>46113.0</v>
      </c>
      <c r="B89" s="20" t="s">
        <v>48</v>
      </c>
      <c r="C89" s="20"/>
      <c r="D89" s="21">
        <v>4500.0</v>
      </c>
      <c r="E89" s="20"/>
      <c r="F89" s="20"/>
      <c r="G89" s="20"/>
      <c r="H89" s="2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5"/>
      <c r="B90" s="4"/>
      <c r="C90" s="4"/>
      <c r="D90" s="7"/>
      <c r="E90" s="4"/>
      <c r="F90" s="4"/>
      <c r="G90" s="4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8"/>
      <c r="B91" s="4"/>
      <c r="C91" s="4"/>
      <c r="D91" s="7"/>
      <c r="E91" s="4"/>
      <c r="F91" s="4"/>
      <c r="G91" s="4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0" t="s">
        <v>9</v>
      </c>
      <c r="B92" s="12" t="s">
        <v>183</v>
      </c>
      <c r="C92" s="14"/>
      <c r="D92" s="14"/>
      <c r="E92" s="14"/>
      <c r="F92" s="14"/>
      <c r="G92" s="14"/>
      <c r="H92" s="16" t="s">
        <v>17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9" t="s">
        <v>8</v>
      </c>
      <c r="B93" s="9" t="s">
        <v>11</v>
      </c>
      <c r="C93" s="9" t="s">
        <v>22</v>
      </c>
      <c r="D93" s="11" t="s">
        <v>24</v>
      </c>
      <c r="E93" s="9" t="s">
        <v>8</v>
      </c>
      <c r="F93" s="9" t="s">
        <v>25</v>
      </c>
      <c r="G93" s="9" t="s">
        <v>22</v>
      </c>
      <c r="H93" s="11" t="s">
        <v>24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24">
        <v>46088.0</v>
      </c>
      <c r="B94" s="20" t="s">
        <v>203</v>
      </c>
      <c r="C94" s="20"/>
      <c r="D94" s="21">
        <v>15000.0</v>
      </c>
      <c r="E94" s="24">
        <v>46112.0</v>
      </c>
      <c r="F94" s="20" t="s">
        <v>187</v>
      </c>
      <c r="G94" s="20"/>
      <c r="H94" s="21">
        <v>15000.0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20"/>
      <c r="B95" s="20"/>
      <c r="C95" s="20"/>
      <c r="D95" s="21"/>
      <c r="E95" s="20"/>
      <c r="F95" s="20"/>
      <c r="G95" s="20"/>
      <c r="H95" s="2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20"/>
      <c r="B96" s="20"/>
      <c r="C96" s="20"/>
      <c r="D96" s="41">
        <v>15000.0</v>
      </c>
      <c r="E96" s="20"/>
      <c r="F96" s="20"/>
      <c r="G96" s="20"/>
      <c r="H96" s="41">
        <v>15000.0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24">
        <v>46113.0</v>
      </c>
      <c r="B97" s="20" t="s">
        <v>48</v>
      </c>
      <c r="C97" s="20"/>
      <c r="D97" s="21">
        <v>15000.0</v>
      </c>
      <c r="E97" s="20"/>
      <c r="F97" s="20"/>
      <c r="G97" s="20"/>
      <c r="H97" s="2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5"/>
      <c r="B98" s="4"/>
      <c r="C98" s="4"/>
      <c r="D98" s="7"/>
      <c r="E98" s="4"/>
      <c r="F98" s="4"/>
      <c r="G98" s="4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0" t="s">
        <v>9</v>
      </c>
      <c r="B100" s="12" t="s">
        <v>243</v>
      </c>
      <c r="C100" s="14"/>
      <c r="D100" s="14"/>
      <c r="E100" s="14"/>
      <c r="F100" s="14"/>
      <c r="G100" s="14"/>
      <c r="H100" s="16" t="s">
        <v>17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9" t="s">
        <v>8</v>
      </c>
      <c r="B101" s="9" t="s">
        <v>11</v>
      </c>
      <c r="C101" s="9" t="s">
        <v>22</v>
      </c>
      <c r="D101" s="11" t="s">
        <v>24</v>
      </c>
      <c r="E101" s="9" t="s">
        <v>8</v>
      </c>
      <c r="F101" s="9" t="s">
        <v>25</v>
      </c>
      <c r="G101" s="9" t="s">
        <v>22</v>
      </c>
      <c r="H101" s="11" t="s">
        <v>24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24">
        <v>46112.0</v>
      </c>
      <c r="B102" s="20" t="s">
        <v>213</v>
      </c>
      <c r="C102" s="20"/>
      <c r="D102" s="21">
        <v>12000.0</v>
      </c>
      <c r="E102" s="24">
        <v>46089.0</v>
      </c>
      <c r="F102" s="20" t="s">
        <v>245</v>
      </c>
      <c r="G102" s="20"/>
      <c r="H102" s="21">
        <v>12000.0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20"/>
      <c r="B103" s="20"/>
      <c r="C103" s="20"/>
      <c r="D103" s="21"/>
      <c r="E103" s="20"/>
      <c r="F103" s="20"/>
      <c r="G103" s="20"/>
      <c r="H103" s="2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20"/>
      <c r="B104" s="20"/>
      <c r="C104" s="20"/>
      <c r="D104" s="41">
        <v>12000.0</v>
      </c>
      <c r="E104" s="20"/>
      <c r="F104" s="20"/>
      <c r="G104" s="20"/>
      <c r="H104" s="41">
        <v>12000.0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20"/>
      <c r="B105" s="20"/>
      <c r="C105" s="20"/>
      <c r="D105" s="21"/>
      <c r="E105" s="24">
        <v>46113.0</v>
      </c>
      <c r="F105" s="20" t="s">
        <v>104</v>
      </c>
      <c r="G105" s="20"/>
      <c r="H105" s="21">
        <v>12000.0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7"/>
      <c r="E106" s="45"/>
      <c r="F106" s="4"/>
      <c r="G106" s="4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0" t="s">
        <v>9</v>
      </c>
      <c r="B108" s="12" t="s">
        <v>247</v>
      </c>
      <c r="C108" s="14"/>
      <c r="D108" s="14"/>
      <c r="E108" s="14"/>
      <c r="F108" s="14"/>
      <c r="G108" s="14"/>
      <c r="H108" s="16" t="s">
        <v>17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9" t="s">
        <v>8</v>
      </c>
      <c r="B109" s="9" t="s">
        <v>11</v>
      </c>
      <c r="C109" s="9" t="s">
        <v>22</v>
      </c>
      <c r="D109" s="11" t="s">
        <v>24</v>
      </c>
      <c r="E109" s="9" t="s">
        <v>8</v>
      </c>
      <c r="F109" s="9" t="s">
        <v>25</v>
      </c>
      <c r="G109" s="9" t="s">
        <v>22</v>
      </c>
      <c r="H109" s="11" t="s">
        <v>24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24">
        <v>46090.0</v>
      </c>
      <c r="B110" s="20" t="s">
        <v>248</v>
      </c>
      <c r="C110" s="20"/>
      <c r="D110" s="21">
        <v>10000.0</v>
      </c>
      <c r="E110" s="24">
        <v>46112.0</v>
      </c>
      <c r="F110" s="20" t="s">
        <v>187</v>
      </c>
      <c r="G110" s="20"/>
      <c r="H110" s="21">
        <v>10000.0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20"/>
      <c r="B111" s="20"/>
      <c r="C111" s="20"/>
      <c r="D111" s="21"/>
      <c r="E111" s="20"/>
      <c r="F111" s="20"/>
      <c r="G111" s="20"/>
      <c r="H111" s="2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20"/>
      <c r="B112" s="20"/>
      <c r="C112" s="20"/>
      <c r="D112" s="41">
        <v>10000.0</v>
      </c>
      <c r="E112" s="20"/>
      <c r="F112" s="20"/>
      <c r="G112" s="20"/>
      <c r="H112" s="41">
        <v>10000.0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24">
        <v>46113.0</v>
      </c>
      <c r="B113" s="20" t="s">
        <v>48</v>
      </c>
      <c r="C113" s="20"/>
      <c r="D113" s="21">
        <v>10000.0</v>
      </c>
      <c r="E113" s="20"/>
      <c r="F113" s="20"/>
      <c r="G113" s="20"/>
      <c r="H113" s="2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5"/>
      <c r="B114" s="4"/>
      <c r="C114" s="4"/>
      <c r="D114" s="7"/>
      <c r="E114" s="4"/>
      <c r="F114" s="4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0" t="s">
        <v>9</v>
      </c>
      <c r="B116" s="12" t="s">
        <v>249</v>
      </c>
      <c r="C116" s="14"/>
      <c r="D116" s="14"/>
      <c r="E116" s="14"/>
      <c r="F116" s="14"/>
      <c r="G116" s="14"/>
      <c r="H116" s="16" t="s">
        <v>17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9" t="s">
        <v>8</v>
      </c>
      <c r="B117" s="9" t="s">
        <v>11</v>
      </c>
      <c r="C117" s="9" t="s">
        <v>22</v>
      </c>
      <c r="D117" s="11" t="s">
        <v>24</v>
      </c>
      <c r="E117" s="9" t="s">
        <v>8</v>
      </c>
      <c r="F117" s="9" t="s">
        <v>25</v>
      </c>
      <c r="G117" s="9" t="s">
        <v>22</v>
      </c>
      <c r="H117" s="11" t="s">
        <v>24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24">
        <v>46091.0</v>
      </c>
      <c r="B118" s="20" t="s">
        <v>155</v>
      </c>
      <c r="C118" s="20"/>
      <c r="D118" s="21">
        <v>50000.0</v>
      </c>
      <c r="E118" s="24">
        <v>46112.0</v>
      </c>
      <c r="F118" s="20" t="s">
        <v>187</v>
      </c>
      <c r="G118" s="20"/>
      <c r="H118" s="21">
        <v>50000.0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20"/>
      <c r="B119" s="20"/>
      <c r="C119" s="20"/>
      <c r="D119" s="21"/>
      <c r="E119" s="20"/>
      <c r="F119" s="20"/>
      <c r="G119" s="20"/>
      <c r="H119" s="2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20"/>
      <c r="B120" s="20"/>
      <c r="C120" s="20"/>
      <c r="D120" s="41">
        <v>50000.0</v>
      </c>
      <c r="E120" s="20"/>
      <c r="F120" s="20"/>
      <c r="G120" s="20"/>
      <c r="H120" s="41">
        <v>50000.0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24">
        <v>46113.0</v>
      </c>
      <c r="B121" s="20" t="s">
        <v>48</v>
      </c>
      <c r="C121" s="20"/>
      <c r="D121" s="21">
        <v>50000.0</v>
      </c>
      <c r="E121" s="20"/>
      <c r="F121" s="20"/>
      <c r="G121" s="20"/>
      <c r="H121" s="2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5"/>
      <c r="B122" s="4"/>
      <c r="C122" s="4"/>
      <c r="D122" s="7"/>
      <c r="E122" s="4"/>
      <c r="F122" s="4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0" t="s">
        <v>9</v>
      </c>
      <c r="B124" s="12" t="s">
        <v>47</v>
      </c>
      <c r="C124" s="14"/>
      <c r="D124" s="14"/>
      <c r="E124" s="14"/>
      <c r="F124" s="14"/>
      <c r="G124" s="14"/>
      <c r="H124" s="16" t="s">
        <v>17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9" t="s">
        <v>8</v>
      </c>
      <c r="B125" s="9" t="s">
        <v>11</v>
      </c>
      <c r="C125" s="9" t="s">
        <v>22</v>
      </c>
      <c r="D125" s="11" t="s">
        <v>24</v>
      </c>
      <c r="E125" s="9" t="s">
        <v>8</v>
      </c>
      <c r="F125" s="9" t="s">
        <v>25</v>
      </c>
      <c r="G125" s="9" t="s">
        <v>22</v>
      </c>
      <c r="H125" s="11" t="s">
        <v>24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24">
        <v>46082.0</v>
      </c>
      <c r="B126" s="20" t="s">
        <v>48</v>
      </c>
      <c r="C126" s="20"/>
      <c r="D126" s="21">
        <v>120000.0</v>
      </c>
      <c r="E126" s="24">
        <v>46091.0</v>
      </c>
      <c r="F126" s="20" t="s">
        <v>250</v>
      </c>
      <c r="G126" s="20"/>
      <c r="H126" s="21">
        <v>50000.0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24">
        <v>46098.0</v>
      </c>
      <c r="B127" s="20" t="s">
        <v>251</v>
      </c>
      <c r="C127" s="20"/>
      <c r="D127" s="21">
        <v>110000.0</v>
      </c>
      <c r="E127" s="24">
        <v>46094.0</v>
      </c>
      <c r="F127" s="20" t="s">
        <v>245</v>
      </c>
      <c r="G127" s="20"/>
      <c r="H127" s="21">
        <v>150000.0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24">
        <v>46105.0</v>
      </c>
      <c r="B128" s="20" t="s">
        <v>252</v>
      </c>
      <c r="C128" s="20"/>
      <c r="D128" s="21">
        <v>3000.0</v>
      </c>
      <c r="E128" s="24">
        <v>46101.0</v>
      </c>
      <c r="F128" s="20" t="s">
        <v>40</v>
      </c>
      <c r="G128" s="20"/>
      <c r="H128" s="21">
        <v>20000.0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24">
        <v>46111.0</v>
      </c>
      <c r="B129" s="20" t="s">
        <v>203</v>
      </c>
      <c r="C129" s="20"/>
      <c r="D129" s="21">
        <v>40000.0</v>
      </c>
      <c r="E129" s="24">
        <v>46103.0</v>
      </c>
      <c r="F129" s="20" t="s">
        <v>253</v>
      </c>
      <c r="G129" s="20"/>
      <c r="H129" s="21">
        <v>6000.0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20"/>
      <c r="B130" s="20"/>
      <c r="C130" s="20"/>
      <c r="D130" s="21"/>
      <c r="E130" s="24">
        <v>46112.0</v>
      </c>
      <c r="F130" s="20" t="s">
        <v>187</v>
      </c>
      <c r="G130" s="20"/>
      <c r="H130" s="21">
        <v>47000.0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20"/>
      <c r="B131" s="20"/>
      <c r="C131" s="20"/>
      <c r="D131" s="21"/>
      <c r="E131" s="24"/>
      <c r="F131" s="20"/>
      <c r="G131" s="20"/>
      <c r="H131" s="2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20"/>
      <c r="B132" s="20"/>
      <c r="C132" s="20"/>
      <c r="D132" s="41">
        <f>SUM(D126:D130)</f>
        <v>273000</v>
      </c>
      <c r="E132" s="20"/>
      <c r="F132" s="20"/>
      <c r="G132" s="20"/>
      <c r="H132" s="41">
        <f>SUM(H126:H130)</f>
        <v>273000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24">
        <v>46113.0</v>
      </c>
      <c r="B133" s="20" t="s">
        <v>48</v>
      </c>
      <c r="C133" s="20"/>
      <c r="D133" s="21">
        <v>47000.0</v>
      </c>
      <c r="E133" s="20"/>
      <c r="F133" s="20"/>
      <c r="G133" s="20"/>
      <c r="H133" s="2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5"/>
      <c r="B134" s="4"/>
      <c r="C134" s="4"/>
      <c r="D134" s="7"/>
      <c r="E134" s="4"/>
      <c r="F134" s="4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0" t="s">
        <v>9</v>
      </c>
      <c r="B136" s="12" t="s">
        <v>204</v>
      </c>
      <c r="C136" s="14"/>
      <c r="D136" s="14"/>
      <c r="E136" s="14"/>
      <c r="F136" s="14"/>
      <c r="G136" s="14"/>
      <c r="H136" s="16" t="s">
        <v>17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9" t="s">
        <v>8</v>
      </c>
      <c r="B137" s="9" t="s">
        <v>11</v>
      </c>
      <c r="C137" s="9" t="s">
        <v>22</v>
      </c>
      <c r="D137" s="11" t="s">
        <v>24</v>
      </c>
      <c r="E137" s="9" t="s">
        <v>8</v>
      </c>
      <c r="F137" s="9" t="s">
        <v>25</v>
      </c>
      <c r="G137" s="9" t="s">
        <v>22</v>
      </c>
      <c r="H137" s="11" t="s">
        <v>24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24">
        <v>46092.0</v>
      </c>
      <c r="B138" s="20" t="s">
        <v>203</v>
      </c>
      <c r="C138" s="20"/>
      <c r="D138" s="21">
        <v>22000.0</v>
      </c>
      <c r="E138" s="24">
        <v>46112.0</v>
      </c>
      <c r="F138" s="20" t="s">
        <v>187</v>
      </c>
      <c r="G138" s="20"/>
      <c r="H138" s="21">
        <v>22000.0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20"/>
      <c r="B139" s="20"/>
      <c r="C139" s="20"/>
      <c r="D139" s="21"/>
      <c r="E139" s="20"/>
      <c r="F139" s="20"/>
      <c r="G139" s="20"/>
      <c r="H139" s="2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20"/>
      <c r="B140" s="20"/>
      <c r="C140" s="20"/>
      <c r="D140" s="41">
        <v>22000.0</v>
      </c>
      <c r="E140" s="20"/>
      <c r="F140" s="20"/>
      <c r="G140" s="20"/>
      <c r="H140" s="41">
        <v>22000.0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24">
        <v>46113.0</v>
      </c>
      <c r="B141" s="20" t="s">
        <v>48</v>
      </c>
      <c r="C141" s="20"/>
      <c r="D141" s="21">
        <v>22000.0</v>
      </c>
      <c r="E141" s="20"/>
      <c r="F141" s="20"/>
      <c r="G141" s="20"/>
      <c r="H141" s="2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5"/>
      <c r="B142" s="4"/>
      <c r="C142" s="4"/>
      <c r="D142" s="7"/>
      <c r="E142" s="4"/>
      <c r="F142" s="4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0" t="s">
        <v>9</v>
      </c>
      <c r="B144" s="12" t="s">
        <v>254</v>
      </c>
      <c r="C144" s="14"/>
      <c r="D144" s="14"/>
      <c r="E144" s="14"/>
      <c r="F144" s="14"/>
      <c r="G144" s="14"/>
      <c r="H144" s="16" t="s">
        <v>17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9" t="s">
        <v>8</v>
      </c>
      <c r="B145" s="9" t="s">
        <v>11</v>
      </c>
      <c r="C145" s="9" t="s">
        <v>22</v>
      </c>
      <c r="D145" s="11" t="s">
        <v>24</v>
      </c>
      <c r="E145" s="9" t="s">
        <v>8</v>
      </c>
      <c r="F145" s="9" t="s">
        <v>25</v>
      </c>
      <c r="G145" s="9" t="s">
        <v>22</v>
      </c>
      <c r="H145" s="11" t="s">
        <v>24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24">
        <v>46093.0</v>
      </c>
      <c r="B146" s="20" t="s">
        <v>255</v>
      </c>
      <c r="C146" s="20"/>
      <c r="D146" s="21">
        <v>6000.0</v>
      </c>
      <c r="E146" s="24">
        <v>46112.0</v>
      </c>
      <c r="F146" s="20" t="s">
        <v>187</v>
      </c>
      <c r="G146" s="20"/>
      <c r="H146" s="21">
        <v>6000.0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20"/>
      <c r="B147" s="20"/>
      <c r="C147" s="20"/>
      <c r="D147" s="21"/>
      <c r="E147" s="20"/>
      <c r="F147" s="20"/>
      <c r="G147" s="20"/>
      <c r="H147" s="2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20"/>
      <c r="B148" s="20"/>
      <c r="C148" s="20"/>
      <c r="D148" s="41">
        <v>6000.0</v>
      </c>
      <c r="E148" s="20"/>
      <c r="F148" s="20"/>
      <c r="G148" s="20"/>
      <c r="H148" s="41">
        <v>6000.0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24">
        <v>46113.0</v>
      </c>
      <c r="B149" s="20" t="s">
        <v>48</v>
      </c>
      <c r="C149" s="20"/>
      <c r="D149" s="21">
        <v>6000.0</v>
      </c>
      <c r="E149" s="20"/>
      <c r="F149" s="20"/>
      <c r="G149" s="20"/>
      <c r="H149" s="2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5"/>
      <c r="B150" s="4"/>
      <c r="C150" s="4"/>
      <c r="D150" s="7"/>
      <c r="E150" s="4"/>
      <c r="F150" s="4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0" t="s">
        <v>9</v>
      </c>
      <c r="B152" s="12" t="s">
        <v>256</v>
      </c>
      <c r="C152" s="14"/>
      <c r="D152" s="14"/>
      <c r="E152" s="14"/>
      <c r="F152" s="14"/>
      <c r="G152" s="14"/>
      <c r="H152" s="16" t="s">
        <v>17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9" t="s">
        <v>8</v>
      </c>
      <c r="B153" s="9" t="s">
        <v>11</v>
      </c>
      <c r="C153" s="9" t="s">
        <v>22</v>
      </c>
      <c r="D153" s="11" t="s">
        <v>24</v>
      </c>
      <c r="E153" s="9" t="s">
        <v>8</v>
      </c>
      <c r="F153" s="9" t="s">
        <v>25</v>
      </c>
      <c r="G153" s="9" t="s">
        <v>22</v>
      </c>
      <c r="H153" s="11" t="s">
        <v>24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24">
        <v>46112.0</v>
      </c>
      <c r="B154" s="20" t="s">
        <v>213</v>
      </c>
      <c r="C154" s="20"/>
      <c r="D154" s="21">
        <v>7000.0</v>
      </c>
      <c r="E154" s="24">
        <v>46094.0</v>
      </c>
      <c r="F154" s="20" t="s">
        <v>245</v>
      </c>
      <c r="G154" s="20"/>
      <c r="H154" s="21">
        <v>7000.0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20"/>
      <c r="B155" s="20"/>
      <c r="C155" s="20"/>
      <c r="D155" s="21"/>
      <c r="E155" s="20"/>
      <c r="F155" s="20"/>
      <c r="G155" s="20"/>
      <c r="H155" s="2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20"/>
      <c r="B156" s="20"/>
      <c r="C156" s="20"/>
      <c r="D156" s="41">
        <v>7000.0</v>
      </c>
      <c r="E156" s="20"/>
      <c r="F156" s="20"/>
      <c r="G156" s="20"/>
      <c r="H156" s="41">
        <v>7000.0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20"/>
      <c r="B157" s="20"/>
      <c r="C157" s="20"/>
      <c r="D157" s="21"/>
      <c r="E157" s="24">
        <v>46113.0</v>
      </c>
      <c r="F157" s="20" t="s">
        <v>104</v>
      </c>
      <c r="G157" s="20"/>
      <c r="H157" s="21">
        <v>7000.0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7"/>
      <c r="E158" s="45"/>
      <c r="F158" s="4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0" t="s">
        <v>9</v>
      </c>
      <c r="B160" s="12" t="s">
        <v>211</v>
      </c>
      <c r="C160" s="14"/>
      <c r="D160" s="14"/>
      <c r="E160" s="14"/>
      <c r="F160" s="14"/>
      <c r="G160" s="14"/>
      <c r="H160" s="16" t="s">
        <v>17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9" t="s">
        <v>8</v>
      </c>
      <c r="B161" s="9" t="s">
        <v>11</v>
      </c>
      <c r="C161" s="9" t="s">
        <v>22</v>
      </c>
      <c r="D161" s="11" t="s">
        <v>24</v>
      </c>
      <c r="E161" s="9" t="s">
        <v>8</v>
      </c>
      <c r="F161" s="9" t="s">
        <v>25</v>
      </c>
      <c r="G161" s="9" t="s">
        <v>22</v>
      </c>
      <c r="H161" s="11" t="s">
        <v>24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24">
        <v>46095.0</v>
      </c>
      <c r="B162" s="20" t="s">
        <v>203</v>
      </c>
      <c r="C162" s="20"/>
      <c r="D162" s="21">
        <v>18000.0</v>
      </c>
      <c r="E162" s="24">
        <v>46112.0</v>
      </c>
      <c r="F162" s="20" t="s">
        <v>187</v>
      </c>
      <c r="G162" s="20"/>
      <c r="H162" s="21">
        <v>18000.0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20"/>
      <c r="B163" s="20"/>
      <c r="C163" s="20"/>
      <c r="D163" s="21"/>
      <c r="E163" s="20"/>
      <c r="F163" s="20"/>
      <c r="G163" s="20"/>
      <c r="H163" s="2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20"/>
      <c r="B164" s="20"/>
      <c r="C164" s="20"/>
      <c r="D164" s="41">
        <v>18000.0</v>
      </c>
      <c r="E164" s="20"/>
      <c r="F164" s="20"/>
      <c r="G164" s="20"/>
      <c r="H164" s="41">
        <v>18000.0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24">
        <v>46113.0</v>
      </c>
      <c r="B165" s="20" t="s">
        <v>48</v>
      </c>
      <c r="C165" s="20"/>
      <c r="D165" s="21">
        <v>18000.0</v>
      </c>
      <c r="E165" s="20"/>
      <c r="F165" s="20"/>
      <c r="G165" s="20"/>
      <c r="H165" s="2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5"/>
      <c r="B166" s="4"/>
      <c r="C166" s="4"/>
      <c r="D166" s="7"/>
      <c r="E166" s="4"/>
      <c r="F166" s="4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0" t="s">
        <v>9</v>
      </c>
      <c r="B168" s="12" t="s">
        <v>257</v>
      </c>
      <c r="C168" s="14"/>
      <c r="D168" s="14"/>
      <c r="E168" s="14"/>
      <c r="F168" s="14"/>
      <c r="G168" s="14"/>
      <c r="H168" s="16" t="s">
        <v>17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9" t="s">
        <v>8</v>
      </c>
      <c r="B169" s="9" t="s">
        <v>11</v>
      </c>
      <c r="C169" s="9" t="s">
        <v>22</v>
      </c>
      <c r="D169" s="11" t="s">
        <v>24</v>
      </c>
      <c r="E169" s="9" t="s">
        <v>8</v>
      </c>
      <c r="F169" s="9" t="s">
        <v>25</v>
      </c>
      <c r="G169" s="9" t="s">
        <v>22</v>
      </c>
      <c r="H169" s="11" t="s">
        <v>24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24">
        <v>46112.0</v>
      </c>
      <c r="B170" s="20" t="s">
        <v>213</v>
      </c>
      <c r="C170" s="20"/>
      <c r="D170" s="21">
        <v>125000.0</v>
      </c>
      <c r="E170" s="24">
        <v>46082.0</v>
      </c>
      <c r="F170" s="20" t="s">
        <v>187</v>
      </c>
      <c r="G170" s="20"/>
      <c r="H170" s="21">
        <v>40000.0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20"/>
      <c r="B171" s="20"/>
      <c r="C171" s="20"/>
      <c r="D171" s="21"/>
      <c r="E171" s="24">
        <v>46096.0</v>
      </c>
      <c r="F171" s="20" t="s">
        <v>258</v>
      </c>
      <c r="G171" s="20"/>
      <c r="H171" s="21">
        <v>85000.0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20"/>
      <c r="B172" s="20"/>
      <c r="C172" s="20"/>
      <c r="D172" s="21"/>
      <c r="E172" s="24"/>
      <c r="F172" s="20"/>
      <c r="G172" s="20"/>
      <c r="H172" s="2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20"/>
      <c r="B173" s="20"/>
      <c r="C173" s="20"/>
      <c r="D173" s="41">
        <v>125000.0</v>
      </c>
      <c r="E173" s="20"/>
      <c r="F173" s="20"/>
      <c r="G173" s="20"/>
      <c r="H173" s="41">
        <f>SUM(H170:H171)</f>
        <v>125000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20"/>
      <c r="B174" s="20"/>
      <c r="C174" s="20"/>
      <c r="D174" s="21"/>
      <c r="E174" s="24">
        <v>46113.0</v>
      </c>
      <c r="F174" s="20" t="s">
        <v>104</v>
      </c>
      <c r="G174" s="20"/>
      <c r="H174" s="21">
        <v>125000.0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7"/>
      <c r="E175" s="45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0" t="s">
        <v>9</v>
      </c>
      <c r="B177" s="12" t="s">
        <v>71</v>
      </c>
      <c r="C177" s="14"/>
      <c r="D177" s="14"/>
      <c r="E177" s="14"/>
      <c r="F177" s="14"/>
      <c r="G177" s="14"/>
      <c r="H177" s="16" t="s">
        <v>17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9" t="s">
        <v>8</v>
      </c>
      <c r="B178" s="9" t="s">
        <v>11</v>
      </c>
      <c r="C178" s="9" t="s">
        <v>22</v>
      </c>
      <c r="D178" s="11" t="s">
        <v>24</v>
      </c>
      <c r="E178" s="9" t="s">
        <v>8</v>
      </c>
      <c r="F178" s="9" t="s">
        <v>25</v>
      </c>
      <c r="G178" s="9" t="s">
        <v>22</v>
      </c>
      <c r="H178" s="11" t="s">
        <v>24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24">
        <v>46082.0</v>
      </c>
      <c r="B179" s="20" t="s">
        <v>48</v>
      </c>
      <c r="C179" s="20"/>
      <c r="D179" s="21">
        <v>45000.0</v>
      </c>
      <c r="E179" s="24">
        <v>46098.0</v>
      </c>
      <c r="F179" s="20" t="s">
        <v>40</v>
      </c>
      <c r="G179" s="20"/>
      <c r="H179" s="21">
        <v>110000.0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24">
        <v>46097.0</v>
      </c>
      <c r="B180" s="20" t="s">
        <v>136</v>
      </c>
      <c r="C180" s="20"/>
      <c r="D180" s="21">
        <v>120000.0</v>
      </c>
      <c r="E180" s="24">
        <v>46112.0</v>
      </c>
      <c r="F180" s="20" t="s">
        <v>187</v>
      </c>
      <c r="G180" s="20"/>
      <c r="H180" s="21">
        <v>55000.0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20"/>
      <c r="B181" s="20"/>
      <c r="C181" s="20"/>
      <c r="D181" s="21"/>
      <c r="E181" s="20"/>
      <c r="F181" s="20"/>
      <c r="G181" s="20"/>
      <c r="H181" s="2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20"/>
      <c r="B182" s="20"/>
      <c r="C182" s="20"/>
      <c r="D182" s="41">
        <f>SUM(D179:D181)</f>
        <v>165000</v>
      </c>
      <c r="E182" s="20"/>
      <c r="F182" s="20"/>
      <c r="G182" s="20"/>
      <c r="H182" s="41">
        <f>SUM(H179:H181)</f>
        <v>165000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24">
        <v>46113.0</v>
      </c>
      <c r="B183" s="20" t="s">
        <v>48</v>
      </c>
      <c r="C183" s="20"/>
      <c r="D183" s="21">
        <v>55000.0</v>
      </c>
      <c r="E183" s="20"/>
      <c r="F183" s="20"/>
      <c r="G183" s="20"/>
      <c r="H183" s="2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5"/>
      <c r="B184" s="4"/>
      <c r="C184" s="4"/>
      <c r="D184" s="7"/>
      <c r="E184" s="4"/>
      <c r="F184" s="4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0" t="s">
        <v>9</v>
      </c>
      <c r="B186" s="12" t="s">
        <v>259</v>
      </c>
      <c r="C186" s="14"/>
      <c r="D186" s="14"/>
      <c r="E186" s="14"/>
      <c r="F186" s="14"/>
      <c r="G186" s="14"/>
      <c r="H186" s="16" t="s">
        <v>17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9" t="s">
        <v>8</v>
      </c>
      <c r="B187" s="9" t="s">
        <v>11</v>
      </c>
      <c r="C187" s="9" t="s">
        <v>22</v>
      </c>
      <c r="D187" s="11" t="s">
        <v>24</v>
      </c>
      <c r="E187" s="9" t="s">
        <v>8</v>
      </c>
      <c r="F187" s="9" t="s">
        <v>25</v>
      </c>
      <c r="G187" s="9" t="s">
        <v>22</v>
      </c>
      <c r="H187" s="11" t="s">
        <v>24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24">
        <v>46099.0</v>
      </c>
      <c r="B188" s="20" t="s">
        <v>203</v>
      </c>
      <c r="C188" s="20"/>
      <c r="D188" s="21">
        <v>5500.0</v>
      </c>
      <c r="E188" s="24">
        <v>46112.0</v>
      </c>
      <c r="F188" s="20" t="s">
        <v>187</v>
      </c>
      <c r="G188" s="20"/>
      <c r="H188" s="21">
        <v>5500.0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20"/>
      <c r="B189" s="20"/>
      <c r="C189" s="20"/>
      <c r="D189" s="21"/>
      <c r="E189" s="20"/>
      <c r="F189" s="20"/>
      <c r="G189" s="20"/>
      <c r="H189" s="2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20"/>
      <c r="B190" s="20"/>
      <c r="C190" s="20"/>
      <c r="D190" s="41">
        <v>5500.0</v>
      </c>
      <c r="E190" s="20"/>
      <c r="F190" s="20"/>
      <c r="G190" s="20"/>
      <c r="H190" s="41">
        <v>5500.0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24">
        <v>46113.0</v>
      </c>
      <c r="B191" s="20" t="s">
        <v>48</v>
      </c>
      <c r="C191" s="20"/>
      <c r="D191" s="21">
        <v>5500.0</v>
      </c>
      <c r="E191" s="20"/>
      <c r="F191" s="20"/>
      <c r="G191" s="20"/>
      <c r="H191" s="2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5"/>
      <c r="B192" s="4"/>
      <c r="C192" s="4"/>
      <c r="D192" s="7"/>
      <c r="E192" s="4"/>
      <c r="F192" s="4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0" t="s">
        <v>9</v>
      </c>
      <c r="B194" s="12" t="s">
        <v>260</v>
      </c>
      <c r="C194" s="14"/>
      <c r="D194" s="14"/>
      <c r="E194" s="14"/>
      <c r="F194" s="14"/>
      <c r="G194" s="14"/>
      <c r="H194" s="16" t="s">
        <v>17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9" t="s">
        <v>8</v>
      </c>
      <c r="B195" s="9" t="s">
        <v>11</v>
      </c>
      <c r="C195" s="9" t="s">
        <v>22</v>
      </c>
      <c r="D195" s="11" t="s">
        <v>24</v>
      </c>
      <c r="E195" s="9" t="s">
        <v>8</v>
      </c>
      <c r="F195" s="9" t="s">
        <v>25</v>
      </c>
      <c r="G195" s="9" t="s">
        <v>22</v>
      </c>
      <c r="H195" s="11" t="s">
        <v>24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24">
        <v>46112.0</v>
      </c>
      <c r="B196" s="20" t="s">
        <v>213</v>
      </c>
      <c r="C196" s="20"/>
      <c r="D196" s="21">
        <v>9000.0</v>
      </c>
      <c r="E196" s="24">
        <v>46100.0</v>
      </c>
      <c r="F196" s="20" t="s">
        <v>34</v>
      </c>
      <c r="G196" s="20"/>
      <c r="H196" s="21">
        <v>9000.0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20"/>
      <c r="B197" s="20"/>
      <c r="C197" s="20"/>
      <c r="D197" s="21"/>
      <c r="E197" s="20"/>
      <c r="F197" s="20"/>
      <c r="G197" s="20"/>
      <c r="H197" s="2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20"/>
      <c r="B198" s="20"/>
      <c r="C198" s="20"/>
      <c r="D198" s="41">
        <v>9000.0</v>
      </c>
      <c r="E198" s="20"/>
      <c r="F198" s="20"/>
      <c r="G198" s="20"/>
      <c r="H198" s="41">
        <v>9000.0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20"/>
      <c r="B199" s="20"/>
      <c r="C199" s="20"/>
      <c r="D199" s="21"/>
      <c r="E199" s="24">
        <v>46113.0</v>
      </c>
      <c r="F199" s="20" t="s">
        <v>104</v>
      </c>
      <c r="G199" s="20"/>
      <c r="H199" s="21">
        <v>9000.0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7"/>
      <c r="E200" s="45"/>
      <c r="F200" s="4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0" t="s">
        <v>9</v>
      </c>
      <c r="B202" s="12" t="s">
        <v>227</v>
      </c>
      <c r="C202" s="14"/>
      <c r="D202" s="14"/>
      <c r="E202" s="14"/>
      <c r="F202" s="14"/>
      <c r="G202" s="14"/>
      <c r="H202" s="16" t="s">
        <v>17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9" t="s">
        <v>8</v>
      </c>
      <c r="B203" s="9" t="s">
        <v>11</v>
      </c>
      <c r="C203" s="9" t="s">
        <v>22</v>
      </c>
      <c r="D203" s="11" t="s">
        <v>24</v>
      </c>
      <c r="E203" s="9" t="s">
        <v>8</v>
      </c>
      <c r="F203" s="9" t="s">
        <v>25</v>
      </c>
      <c r="G203" s="9" t="s">
        <v>22</v>
      </c>
      <c r="H203" s="11" t="s">
        <v>24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24">
        <v>46102.0</v>
      </c>
      <c r="B204" s="20" t="s">
        <v>203</v>
      </c>
      <c r="C204" s="20"/>
      <c r="D204" s="21">
        <v>12000.0</v>
      </c>
      <c r="E204" s="24">
        <v>46112.0</v>
      </c>
      <c r="F204" s="20" t="s">
        <v>187</v>
      </c>
      <c r="G204" s="20"/>
      <c r="H204" s="21">
        <v>12000.0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20"/>
      <c r="B205" s="20"/>
      <c r="C205" s="20"/>
      <c r="D205" s="21"/>
      <c r="E205" s="20"/>
      <c r="F205" s="20"/>
      <c r="G205" s="20"/>
      <c r="H205" s="2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20"/>
      <c r="B206" s="20"/>
      <c r="C206" s="20"/>
      <c r="D206" s="41">
        <v>12000.0</v>
      </c>
      <c r="E206" s="20"/>
      <c r="F206" s="20"/>
      <c r="G206" s="20"/>
      <c r="H206" s="41">
        <v>12000.0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24">
        <v>46113.0</v>
      </c>
      <c r="B207" s="20" t="s">
        <v>48</v>
      </c>
      <c r="C207" s="20"/>
      <c r="D207" s="21">
        <v>12000.0</v>
      </c>
      <c r="E207" s="20"/>
      <c r="F207" s="20"/>
      <c r="G207" s="20"/>
      <c r="H207" s="2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5"/>
      <c r="B208" s="4"/>
      <c r="C208" s="4"/>
      <c r="D208" s="7"/>
      <c r="E208" s="4"/>
      <c r="F208" s="4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8"/>
      <c r="C209" s="8"/>
      <c r="D209" s="8"/>
      <c r="E209" s="8"/>
      <c r="F209" s="8"/>
      <c r="G209" s="8"/>
      <c r="H209" s="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0" t="s">
        <v>9</v>
      </c>
      <c r="B210" s="12" t="s">
        <v>261</v>
      </c>
      <c r="C210" s="14"/>
      <c r="D210" s="14"/>
      <c r="E210" s="14"/>
      <c r="F210" s="14"/>
      <c r="G210" s="14"/>
      <c r="H210" s="16" t="s">
        <v>17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9" t="s">
        <v>8</v>
      </c>
      <c r="B211" s="9" t="s">
        <v>11</v>
      </c>
      <c r="C211" s="9" t="s">
        <v>22</v>
      </c>
      <c r="D211" s="11" t="s">
        <v>24</v>
      </c>
      <c r="E211" s="9" t="s">
        <v>8</v>
      </c>
      <c r="F211" s="9" t="s">
        <v>25</v>
      </c>
      <c r="G211" s="9" t="s">
        <v>22</v>
      </c>
      <c r="H211" s="11" t="s">
        <v>24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24">
        <v>46103.0</v>
      </c>
      <c r="B212" s="20" t="s">
        <v>155</v>
      </c>
      <c r="C212" s="20"/>
      <c r="D212" s="21">
        <v>6000.0</v>
      </c>
      <c r="E212" s="24">
        <v>46112.0</v>
      </c>
      <c r="F212" s="20" t="s">
        <v>187</v>
      </c>
      <c r="G212" s="20"/>
      <c r="H212" s="21">
        <v>6000.0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20"/>
      <c r="B213" s="20"/>
      <c r="C213" s="20"/>
      <c r="D213" s="21"/>
      <c r="E213" s="20"/>
      <c r="F213" s="20"/>
      <c r="G213" s="20"/>
      <c r="H213" s="2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20"/>
      <c r="B214" s="20"/>
      <c r="C214" s="20"/>
      <c r="D214" s="41">
        <v>6000.0</v>
      </c>
      <c r="E214" s="20"/>
      <c r="F214" s="20"/>
      <c r="G214" s="20"/>
      <c r="H214" s="41">
        <v>6000.0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24">
        <v>46113.0</v>
      </c>
      <c r="B215" s="20" t="s">
        <v>48</v>
      </c>
      <c r="C215" s="20"/>
      <c r="D215" s="21">
        <v>6000.0</v>
      </c>
      <c r="E215" s="20"/>
      <c r="F215" s="20"/>
      <c r="G215" s="20"/>
      <c r="H215" s="2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5"/>
      <c r="B216" s="4"/>
      <c r="C216" s="4"/>
      <c r="D216" s="7"/>
      <c r="E216" s="4"/>
      <c r="F216" s="4"/>
      <c r="G216" s="4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0" t="s">
        <v>9</v>
      </c>
      <c r="B218" s="12" t="s">
        <v>262</v>
      </c>
      <c r="C218" s="14"/>
      <c r="D218" s="14"/>
      <c r="E218" s="14"/>
      <c r="F218" s="14"/>
      <c r="G218" s="14"/>
      <c r="H218" s="16" t="s">
        <v>17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9" t="s">
        <v>8</v>
      </c>
      <c r="B219" s="9" t="s">
        <v>11</v>
      </c>
      <c r="C219" s="9" t="s">
        <v>22</v>
      </c>
      <c r="D219" s="11" t="s">
        <v>24</v>
      </c>
      <c r="E219" s="9" t="s">
        <v>8</v>
      </c>
      <c r="F219" s="9" t="s">
        <v>25</v>
      </c>
      <c r="G219" s="9" t="s">
        <v>22</v>
      </c>
      <c r="H219" s="11" t="s">
        <v>24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24">
        <v>46104.0</v>
      </c>
      <c r="B220" s="20" t="s">
        <v>203</v>
      </c>
      <c r="C220" s="20"/>
      <c r="D220" s="21">
        <v>4000.0</v>
      </c>
      <c r="E220" s="24">
        <v>46112.0</v>
      </c>
      <c r="F220" s="20" t="s">
        <v>187</v>
      </c>
      <c r="G220" s="20"/>
      <c r="H220" s="21">
        <v>4000.0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20"/>
      <c r="B221" s="20"/>
      <c r="C221" s="20"/>
      <c r="D221" s="21"/>
      <c r="E221" s="20"/>
      <c r="F221" s="20"/>
      <c r="G221" s="20"/>
      <c r="H221" s="2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20"/>
      <c r="B222" s="20"/>
      <c r="C222" s="20"/>
      <c r="D222" s="41">
        <v>4000.0</v>
      </c>
      <c r="E222" s="20"/>
      <c r="F222" s="20"/>
      <c r="G222" s="20"/>
      <c r="H222" s="41">
        <v>4000.0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24">
        <v>46113.0</v>
      </c>
      <c r="B223" s="20" t="s">
        <v>48</v>
      </c>
      <c r="C223" s="20"/>
      <c r="D223" s="21">
        <v>4000.0</v>
      </c>
      <c r="E223" s="20"/>
      <c r="F223" s="20"/>
      <c r="G223" s="20"/>
      <c r="H223" s="2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5"/>
      <c r="B224" s="4"/>
      <c r="C224" s="4"/>
      <c r="D224" s="7"/>
      <c r="E224" s="4"/>
      <c r="F224" s="4"/>
      <c r="G224" s="4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0" t="s">
        <v>9</v>
      </c>
      <c r="B226" s="12" t="s">
        <v>263</v>
      </c>
      <c r="C226" s="14"/>
      <c r="D226" s="14"/>
      <c r="E226" s="14"/>
      <c r="F226" s="14"/>
      <c r="G226" s="14"/>
      <c r="H226" s="16" t="s">
        <v>17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9" t="s">
        <v>8</v>
      </c>
      <c r="B227" s="9" t="s">
        <v>11</v>
      </c>
      <c r="C227" s="9" t="s">
        <v>22</v>
      </c>
      <c r="D227" s="11" t="s">
        <v>24</v>
      </c>
      <c r="E227" s="9" t="s">
        <v>8</v>
      </c>
      <c r="F227" s="9" t="s">
        <v>25</v>
      </c>
      <c r="G227" s="9" t="s">
        <v>22</v>
      </c>
      <c r="H227" s="11" t="s">
        <v>24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24">
        <v>46112.0</v>
      </c>
      <c r="B228" s="20" t="s">
        <v>213</v>
      </c>
      <c r="C228" s="20"/>
      <c r="D228" s="21">
        <v>3000.0</v>
      </c>
      <c r="E228" s="24">
        <v>46105.0</v>
      </c>
      <c r="F228" s="20" t="s">
        <v>40</v>
      </c>
      <c r="G228" s="20"/>
      <c r="H228" s="21">
        <v>3000.0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20"/>
      <c r="B229" s="20"/>
      <c r="C229" s="20"/>
      <c r="D229" s="21"/>
      <c r="E229" s="20"/>
      <c r="F229" s="20"/>
      <c r="G229" s="20"/>
      <c r="H229" s="2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20"/>
      <c r="B230" s="20"/>
      <c r="C230" s="20"/>
      <c r="D230" s="41">
        <v>3000.0</v>
      </c>
      <c r="E230" s="20"/>
      <c r="F230" s="20"/>
      <c r="G230" s="20"/>
      <c r="H230" s="41">
        <v>3000.0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20"/>
      <c r="B231" s="20"/>
      <c r="C231" s="20"/>
      <c r="D231" s="21"/>
      <c r="E231" s="24">
        <v>46113.0</v>
      </c>
      <c r="F231" s="20" t="s">
        <v>104</v>
      </c>
      <c r="G231" s="20"/>
      <c r="H231" s="21">
        <v>3000.0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7"/>
      <c r="E232" s="45"/>
      <c r="F232" s="4"/>
      <c r="G232" s="4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0" t="s">
        <v>9</v>
      </c>
      <c r="B234" s="12" t="s">
        <v>264</v>
      </c>
      <c r="C234" s="14"/>
      <c r="D234" s="14"/>
      <c r="E234" s="14"/>
      <c r="F234" s="14"/>
      <c r="G234" s="14"/>
      <c r="H234" s="16" t="s">
        <v>17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9" t="s">
        <v>8</v>
      </c>
      <c r="B235" s="9" t="s">
        <v>11</v>
      </c>
      <c r="C235" s="9" t="s">
        <v>22</v>
      </c>
      <c r="D235" s="11" t="s">
        <v>24</v>
      </c>
      <c r="E235" s="9" t="s">
        <v>8</v>
      </c>
      <c r="F235" s="9" t="s">
        <v>25</v>
      </c>
      <c r="G235" s="9" t="s">
        <v>22</v>
      </c>
      <c r="H235" s="11" t="s">
        <v>24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24">
        <v>46107.0</v>
      </c>
      <c r="B236" s="20" t="s">
        <v>203</v>
      </c>
      <c r="C236" s="20"/>
      <c r="D236" s="21">
        <v>8500.0</v>
      </c>
      <c r="E236" s="24">
        <v>46112.0</v>
      </c>
      <c r="F236" s="20" t="s">
        <v>187</v>
      </c>
      <c r="G236" s="20"/>
      <c r="H236" s="21">
        <v>8500.0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20"/>
      <c r="B237" s="20"/>
      <c r="C237" s="20"/>
      <c r="D237" s="21"/>
      <c r="E237" s="20"/>
      <c r="F237" s="20"/>
      <c r="G237" s="20"/>
      <c r="H237" s="2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20"/>
      <c r="B238" s="20"/>
      <c r="C238" s="20"/>
      <c r="D238" s="41">
        <v>8500.0</v>
      </c>
      <c r="E238" s="20"/>
      <c r="F238" s="20"/>
      <c r="G238" s="20"/>
      <c r="H238" s="41">
        <v>8500.0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24">
        <v>46113.0</v>
      </c>
      <c r="B239" s="20" t="s">
        <v>48</v>
      </c>
      <c r="C239" s="20"/>
      <c r="D239" s="21">
        <v>8500.0</v>
      </c>
      <c r="E239" s="20"/>
      <c r="F239" s="20"/>
      <c r="G239" s="20"/>
      <c r="H239" s="2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5"/>
      <c r="B240" s="4"/>
      <c r="C240" s="4"/>
      <c r="D240" s="7"/>
      <c r="E240" s="4"/>
      <c r="F240" s="4"/>
      <c r="G240" s="4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0" t="s">
        <v>9</v>
      </c>
      <c r="B242" s="12" t="s">
        <v>265</v>
      </c>
      <c r="C242" s="14"/>
      <c r="D242" s="14"/>
      <c r="E242" s="14"/>
      <c r="F242" s="14"/>
      <c r="G242" s="14"/>
      <c r="H242" s="16" t="s">
        <v>17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9" t="s">
        <v>8</v>
      </c>
      <c r="B243" s="9" t="s">
        <v>11</v>
      </c>
      <c r="C243" s="9" t="s">
        <v>22</v>
      </c>
      <c r="D243" s="11" t="s">
        <v>24</v>
      </c>
      <c r="E243" s="9" t="s">
        <v>8</v>
      </c>
      <c r="F243" s="9" t="s">
        <v>25</v>
      </c>
      <c r="G243" s="9" t="s">
        <v>22</v>
      </c>
      <c r="H243" s="11" t="s">
        <v>24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24">
        <v>46108.0</v>
      </c>
      <c r="B244" s="20" t="s">
        <v>203</v>
      </c>
      <c r="C244" s="20"/>
      <c r="D244" s="21">
        <v>2500.0</v>
      </c>
      <c r="E244" s="24">
        <v>46112.0</v>
      </c>
      <c r="F244" s="20" t="s">
        <v>187</v>
      </c>
      <c r="G244" s="20"/>
      <c r="H244" s="21">
        <v>2500.0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20"/>
      <c r="B245" s="20"/>
      <c r="C245" s="20"/>
      <c r="D245" s="21"/>
      <c r="E245" s="20"/>
      <c r="F245" s="20"/>
      <c r="G245" s="20"/>
      <c r="H245" s="2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20"/>
      <c r="B246" s="20"/>
      <c r="C246" s="20"/>
      <c r="D246" s="41">
        <v>2500.0</v>
      </c>
      <c r="E246" s="20"/>
      <c r="F246" s="20"/>
      <c r="G246" s="20"/>
      <c r="H246" s="41">
        <v>2500.0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24">
        <v>46113.0</v>
      </c>
      <c r="B247" s="20" t="s">
        <v>48</v>
      </c>
      <c r="C247" s="20"/>
      <c r="D247" s="21">
        <v>2500.0</v>
      </c>
      <c r="E247" s="20"/>
      <c r="F247" s="20"/>
      <c r="G247" s="20"/>
      <c r="H247" s="2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5"/>
      <c r="B248" s="4"/>
      <c r="C248" s="4"/>
      <c r="D248" s="7"/>
      <c r="E248" s="4"/>
      <c r="F248" s="4"/>
      <c r="G248" s="4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0" t="s">
        <v>9</v>
      </c>
      <c r="B250" s="12" t="s">
        <v>60</v>
      </c>
      <c r="C250" s="14"/>
      <c r="D250" s="14"/>
      <c r="E250" s="14"/>
      <c r="F250" s="14"/>
      <c r="G250" s="14"/>
      <c r="H250" s="16" t="s">
        <v>17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9" t="s">
        <v>8</v>
      </c>
      <c r="B251" s="9" t="s">
        <v>11</v>
      </c>
      <c r="C251" s="9" t="s">
        <v>22</v>
      </c>
      <c r="D251" s="11" t="s">
        <v>24</v>
      </c>
      <c r="E251" s="9" t="s">
        <v>8</v>
      </c>
      <c r="F251" s="9" t="s">
        <v>25</v>
      </c>
      <c r="G251" s="9" t="s">
        <v>22</v>
      </c>
      <c r="H251" s="11" t="s">
        <v>24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24">
        <v>46082.0</v>
      </c>
      <c r="B252" s="20" t="s">
        <v>48</v>
      </c>
      <c r="C252" s="20"/>
      <c r="D252" s="21">
        <v>60000.0</v>
      </c>
      <c r="E252" s="24">
        <v>46112.0</v>
      </c>
      <c r="F252" s="20" t="s">
        <v>187</v>
      </c>
      <c r="G252" s="20"/>
      <c r="H252" s="21">
        <v>85000.0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24">
        <v>46109.0</v>
      </c>
      <c r="B253" s="20" t="s">
        <v>203</v>
      </c>
      <c r="C253" s="20"/>
      <c r="D253" s="21">
        <v>25000.0</v>
      </c>
      <c r="E253" s="20"/>
      <c r="F253" s="20"/>
      <c r="G253" s="20"/>
      <c r="H253" s="2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24"/>
      <c r="B254" s="20"/>
      <c r="C254" s="20"/>
      <c r="D254" s="21"/>
      <c r="E254" s="20"/>
      <c r="F254" s="20"/>
      <c r="G254" s="20"/>
      <c r="H254" s="2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20"/>
      <c r="B255" s="20"/>
      <c r="C255" s="20"/>
      <c r="D255" s="41">
        <v>85000.0</v>
      </c>
      <c r="E255" s="20"/>
      <c r="F255" s="20"/>
      <c r="G255" s="20"/>
      <c r="H255" s="41">
        <v>85000.0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24">
        <v>46113.0</v>
      </c>
      <c r="B256" s="20" t="s">
        <v>48</v>
      </c>
      <c r="C256" s="20"/>
      <c r="D256" s="21">
        <v>85000.0</v>
      </c>
      <c r="E256" s="20"/>
      <c r="F256" s="20"/>
      <c r="G256" s="20"/>
      <c r="H256" s="2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5"/>
      <c r="B257" s="4"/>
      <c r="C257" s="4"/>
      <c r="D257" s="7"/>
      <c r="E257" s="4"/>
      <c r="F257" s="4"/>
      <c r="G257" s="4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0" t="s">
        <v>9</v>
      </c>
      <c r="B259" s="12" t="s">
        <v>266</v>
      </c>
      <c r="C259" s="14"/>
      <c r="D259" s="14"/>
      <c r="E259" s="14"/>
      <c r="F259" s="14"/>
      <c r="G259" s="14"/>
      <c r="H259" s="16" t="s">
        <v>17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9" t="s">
        <v>8</v>
      </c>
      <c r="B260" s="9" t="s">
        <v>11</v>
      </c>
      <c r="C260" s="9" t="s">
        <v>22</v>
      </c>
      <c r="D260" s="11" t="s">
        <v>24</v>
      </c>
      <c r="E260" s="9" t="s">
        <v>8</v>
      </c>
      <c r="F260" s="9" t="s">
        <v>25</v>
      </c>
      <c r="G260" s="9" t="s">
        <v>22</v>
      </c>
      <c r="H260" s="11" t="s">
        <v>24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24">
        <v>46110.0</v>
      </c>
      <c r="B261" s="20" t="s">
        <v>203</v>
      </c>
      <c r="C261" s="20"/>
      <c r="D261" s="21">
        <v>5000.0</v>
      </c>
      <c r="E261" s="24">
        <v>46112.0</v>
      </c>
      <c r="F261" s="20" t="s">
        <v>187</v>
      </c>
      <c r="G261" s="20"/>
      <c r="H261" s="21">
        <v>5000.0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20"/>
      <c r="B262" s="20"/>
      <c r="C262" s="20"/>
      <c r="D262" s="21"/>
      <c r="E262" s="20"/>
      <c r="F262" s="20"/>
      <c r="G262" s="20"/>
      <c r="H262" s="2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20"/>
      <c r="B263" s="20"/>
      <c r="C263" s="20"/>
      <c r="D263" s="41">
        <v>5000.0</v>
      </c>
      <c r="E263" s="20"/>
      <c r="F263" s="20"/>
      <c r="G263" s="20"/>
      <c r="H263" s="41">
        <v>5000.0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24">
        <v>46113.0</v>
      </c>
      <c r="B264" s="20" t="s">
        <v>48</v>
      </c>
      <c r="C264" s="20"/>
      <c r="D264" s="21">
        <v>5000.0</v>
      </c>
      <c r="E264" s="20"/>
      <c r="F264" s="20"/>
      <c r="G264" s="20"/>
      <c r="H264" s="2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7"/>
      <c r="E265" s="4"/>
      <c r="F265" s="4"/>
      <c r="G265" s="4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7"/>
      <c r="E266" s="4"/>
      <c r="F266" s="4"/>
      <c r="G266" s="4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7"/>
      <c r="E267" s="4"/>
      <c r="F267" s="4"/>
      <c r="G267" s="4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7"/>
      <c r="E268" s="4"/>
      <c r="F268" s="4"/>
      <c r="G268" s="4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7"/>
      <c r="E269" s="4"/>
      <c r="F269" s="4"/>
      <c r="G269" s="4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7"/>
      <c r="E270" s="4"/>
      <c r="F270" s="4"/>
      <c r="G270" s="4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7"/>
      <c r="E271" s="4"/>
      <c r="F271" s="4"/>
      <c r="G271" s="4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7"/>
      <c r="E272" s="4"/>
      <c r="F272" s="4"/>
      <c r="G272" s="4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7"/>
      <c r="E273" s="4"/>
      <c r="F273" s="4"/>
      <c r="G273" s="4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7"/>
      <c r="E274" s="4"/>
      <c r="F274" s="4"/>
      <c r="G274" s="4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7"/>
      <c r="E275" s="4"/>
      <c r="F275" s="4"/>
      <c r="G275" s="4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7"/>
      <c r="E276" s="4"/>
      <c r="F276" s="4"/>
      <c r="G276" s="4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7"/>
      <c r="E277" s="4"/>
      <c r="F277" s="4"/>
      <c r="G277" s="4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7"/>
      <c r="E278" s="4"/>
      <c r="F278" s="4"/>
      <c r="G278" s="4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7"/>
      <c r="E279" s="4"/>
      <c r="F279" s="4"/>
      <c r="G279" s="4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7"/>
      <c r="E280" s="4"/>
      <c r="F280" s="4"/>
      <c r="G280" s="4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7"/>
      <c r="E281" s="4"/>
      <c r="F281" s="4"/>
      <c r="G281" s="4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7"/>
      <c r="E282" s="4"/>
      <c r="F282" s="4"/>
      <c r="G282" s="4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7"/>
      <c r="E283" s="4"/>
      <c r="F283" s="4"/>
      <c r="G283" s="4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7"/>
      <c r="E284" s="4"/>
      <c r="F284" s="4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7"/>
      <c r="E285" s="4"/>
      <c r="F285" s="4"/>
      <c r="G285" s="4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7"/>
      <c r="E286" s="4"/>
      <c r="F286" s="4"/>
      <c r="G286" s="4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7"/>
      <c r="E287" s="4"/>
      <c r="F287" s="4"/>
      <c r="G287" s="4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7"/>
      <c r="E288" s="4"/>
      <c r="F288" s="4"/>
      <c r="G288" s="4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7"/>
      <c r="E289" s="4"/>
      <c r="F289" s="4"/>
      <c r="G289" s="4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7"/>
      <c r="E290" s="4"/>
      <c r="F290" s="4"/>
      <c r="G290" s="4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7"/>
      <c r="E291" s="4"/>
      <c r="F291" s="4"/>
      <c r="G291" s="4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7"/>
      <c r="E292" s="4"/>
      <c r="F292" s="4"/>
      <c r="G292" s="4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7"/>
      <c r="E293" s="4"/>
      <c r="F293" s="4"/>
      <c r="G293" s="4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7"/>
      <c r="E294" s="4"/>
      <c r="F294" s="4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7"/>
      <c r="E295" s="4"/>
      <c r="F295" s="4"/>
      <c r="G295" s="4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7"/>
      <c r="E296" s="4"/>
      <c r="F296" s="4"/>
      <c r="G296" s="4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7"/>
      <c r="E297" s="4"/>
      <c r="F297" s="4"/>
      <c r="G297" s="4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7"/>
      <c r="E298" s="4"/>
      <c r="F298" s="4"/>
      <c r="G298" s="4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7"/>
      <c r="E299" s="4"/>
      <c r="F299" s="4"/>
      <c r="G299" s="4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7"/>
      <c r="E300" s="4"/>
      <c r="F300" s="4"/>
      <c r="G300" s="4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7"/>
      <c r="E301" s="4"/>
      <c r="F301" s="4"/>
      <c r="G301" s="4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7"/>
      <c r="E302" s="4"/>
      <c r="F302" s="4"/>
      <c r="G302" s="4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7"/>
      <c r="E303" s="4"/>
      <c r="F303" s="4"/>
      <c r="G303" s="4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7"/>
      <c r="E304" s="4"/>
      <c r="F304" s="4"/>
      <c r="G304" s="4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7"/>
      <c r="E305" s="4"/>
      <c r="F305" s="4"/>
      <c r="G305" s="4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7"/>
      <c r="E306" s="4"/>
      <c r="F306" s="4"/>
      <c r="G306" s="4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7"/>
      <c r="E307" s="4"/>
      <c r="F307" s="4"/>
      <c r="G307" s="4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7"/>
      <c r="E308" s="4"/>
      <c r="F308" s="4"/>
      <c r="G308" s="4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7"/>
      <c r="E309" s="4"/>
      <c r="F309" s="4"/>
      <c r="G309" s="4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7"/>
      <c r="E310" s="4"/>
      <c r="F310" s="4"/>
      <c r="G310" s="4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7"/>
      <c r="E311" s="4"/>
      <c r="F311" s="4"/>
      <c r="G311" s="4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7"/>
      <c r="E312" s="4"/>
      <c r="F312" s="4"/>
      <c r="G312" s="4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7"/>
      <c r="E313" s="4"/>
      <c r="F313" s="4"/>
      <c r="G313" s="4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7"/>
      <c r="E314" s="4"/>
      <c r="F314" s="4"/>
      <c r="G314" s="4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7"/>
      <c r="E315" s="4"/>
      <c r="F315" s="4"/>
      <c r="G315" s="4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7"/>
      <c r="E316" s="4"/>
      <c r="F316" s="4"/>
      <c r="G316" s="4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7"/>
      <c r="E317" s="4"/>
      <c r="F317" s="4"/>
      <c r="G317" s="4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7"/>
      <c r="E318" s="4"/>
      <c r="F318" s="4"/>
      <c r="G318" s="4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7"/>
      <c r="E319" s="4"/>
      <c r="F319" s="4"/>
      <c r="G319" s="4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7"/>
      <c r="E320" s="4"/>
      <c r="F320" s="4"/>
      <c r="G320" s="4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7"/>
      <c r="E321" s="4"/>
      <c r="F321" s="4"/>
      <c r="G321" s="4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7"/>
      <c r="E322" s="4"/>
      <c r="F322" s="4"/>
      <c r="G322" s="4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7"/>
      <c r="E323" s="4"/>
      <c r="F323" s="4"/>
      <c r="G323" s="4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7"/>
      <c r="E324" s="4"/>
      <c r="F324" s="4"/>
      <c r="G324" s="4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7"/>
      <c r="E325" s="4"/>
      <c r="F325" s="4"/>
      <c r="G325" s="4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7"/>
      <c r="E326" s="4"/>
      <c r="F326" s="4"/>
      <c r="G326" s="4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7"/>
      <c r="E327" s="4"/>
      <c r="F327" s="4"/>
      <c r="G327" s="4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7"/>
      <c r="E328" s="4"/>
      <c r="F328" s="4"/>
      <c r="G328" s="4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7"/>
      <c r="E329" s="4"/>
      <c r="F329" s="4"/>
      <c r="G329" s="4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7"/>
      <c r="E330" s="4"/>
      <c r="F330" s="4"/>
      <c r="G330" s="4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7"/>
      <c r="E331" s="4"/>
      <c r="F331" s="4"/>
      <c r="G331" s="4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7"/>
      <c r="E332" s="4"/>
      <c r="F332" s="4"/>
      <c r="G332" s="4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7"/>
      <c r="E333" s="4"/>
      <c r="F333" s="4"/>
      <c r="G333" s="4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7"/>
      <c r="E334" s="4"/>
      <c r="F334" s="4"/>
      <c r="G334" s="4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7"/>
      <c r="E335" s="4"/>
      <c r="F335" s="4"/>
      <c r="G335" s="4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7"/>
      <c r="E336" s="4"/>
      <c r="F336" s="4"/>
      <c r="G336" s="4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7"/>
      <c r="E337" s="4"/>
      <c r="F337" s="4"/>
      <c r="G337" s="4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7"/>
      <c r="E338" s="4"/>
      <c r="F338" s="4"/>
      <c r="G338" s="4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7"/>
      <c r="E339" s="4"/>
      <c r="F339" s="4"/>
      <c r="G339" s="4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7"/>
      <c r="E340" s="4"/>
      <c r="F340" s="4"/>
      <c r="G340" s="4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7"/>
      <c r="E341" s="4"/>
      <c r="F341" s="4"/>
      <c r="G341" s="4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7"/>
      <c r="E342" s="4"/>
      <c r="F342" s="4"/>
      <c r="G342" s="4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7"/>
      <c r="E343" s="4"/>
      <c r="F343" s="4"/>
      <c r="G343" s="4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7"/>
      <c r="E344" s="4"/>
      <c r="F344" s="4"/>
      <c r="G344" s="4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7"/>
      <c r="E345" s="4"/>
      <c r="F345" s="4"/>
      <c r="G345" s="4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7"/>
      <c r="E346" s="4"/>
      <c r="F346" s="4"/>
      <c r="G346" s="4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7"/>
      <c r="E347" s="4"/>
      <c r="F347" s="4"/>
      <c r="G347" s="4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7"/>
      <c r="E348" s="4"/>
      <c r="F348" s="4"/>
      <c r="G348" s="4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7"/>
      <c r="E349" s="4"/>
      <c r="F349" s="4"/>
      <c r="G349" s="4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7"/>
      <c r="E350" s="4"/>
      <c r="F350" s="4"/>
      <c r="G350" s="4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7"/>
      <c r="E351" s="4"/>
      <c r="F351" s="4"/>
      <c r="G351" s="4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7"/>
      <c r="E352" s="4"/>
      <c r="F352" s="4"/>
      <c r="G352" s="4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7"/>
      <c r="E353" s="4"/>
      <c r="F353" s="4"/>
      <c r="G353" s="4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7"/>
      <c r="E354" s="4"/>
      <c r="F354" s="4"/>
      <c r="G354" s="4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7"/>
      <c r="E355" s="4"/>
      <c r="F355" s="4"/>
      <c r="G355" s="4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7"/>
      <c r="E356" s="4"/>
      <c r="F356" s="4"/>
      <c r="G356" s="4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7"/>
      <c r="E357" s="4"/>
      <c r="F357" s="4"/>
      <c r="G357" s="4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7"/>
      <c r="E358" s="4"/>
      <c r="F358" s="4"/>
      <c r="G358" s="4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7"/>
      <c r="E359" s="4"/>
      <c r="F359" s="4"/>
      <c r="G359" s="4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7"/>
      <c r="E360" s="4"/>
      <c r="F360" s="4"/>
      <c r="G360" s="4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7"/>
      <c r="E361" s="4"/>
      <c r="F361" s="4"/>
      <c r="G361" s="4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7"/>
      <c r="E362" s="4"/>
      <c r="F362" s="4"/>
      <c r="G362" s="4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7"/>
      <c r="E363" s="4"/>
      <c r="F363" s="4"/>
      <c r="G363" s="4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7"/>
      <c r="E364" s="4"/>
      <c r="F364" s="4"/>
      <c r="G364" s="4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7"/>
      <c r="E365" s="4"/>
      <c r="F365" s="4"/>
      <c r="G365" s="4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7"/>
      <c r="E366" s="4"/>
      <c r="F366" s="4"/>
      <c r="G366" s="4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7"/>
      <c r="E367" s="4"/>
      <c r="F367" s="4"/>
      <c r="G367" s="4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7"/>
      <c r="E368" s="4"/>
      <c r="F368" s="4"/>
      <c r="G368" s="4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7"/>
      <c r="E369" s="4"/>
      <c r="F369" s="4"/>
      <c r="G369" s="4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7"/>
      <c r="E370" s="4"/>
      <c r="F370" s="4"/>
      <c r="G370" s="4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7"/>
      <c r="E371" s="4"/>
      <c r="F371" s="4"/>
      <c r="G371" s="4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7"/>
      <c r="E372" s="4"/>
      <c r="F372" s="4"/>
      <c r="G372" s="4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7"/>
      <c r="E373" s="4"/>
      <c r="F373" s="4"/>
      <c r="G373" s="4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7"/>
      <c r="E374" s="4"/>
      <c r="F374" s="4"/>
      <c r="G374" s="4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7"/>
      <c r="E375" s="4"/>
      <c r="F375" s="4"/>
      <c r="G375" s="4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7"/>
      <c r="E376" s="4"/>
      <c r="F376" s="4"/>
      <c r="G376" s="4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7"/>
      <c r="E377" s="4"/>
      <c r="F377" s="4"/>
      <c r="G377" s="4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7"/>
      <c r="E378" s="4"/>
      <c r="F378" s="4"/>
      <c r="G378" s="4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7"/>
      <c r="E379" s="4"/>
      <c r="F379" s="4"/>
      <c r="G379" s="4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7"/>
      <c r="E380" s="4"/>
      <c r="F380" s="4"/>
      <c r="G380" s="4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7"/>
      <c r="E381" s="4"/>
      <c r="F381" s="4"/>
      <c r="G381" s="4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7"/>
      <c r="E382" s="4"/>
      <c r="F382" s="4"/>
      <c r="G382" s="4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7"/>
      <c r="E383" s="4"/>
      <c r="F383" s="4"/>
      <c r="G383" s="4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7"/>
      <c r="E384" s="4"/>
      <c r="F384" s="4"/>
      <c r="G384" s="4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7"/>
      <c r="E385" s="4"/>
      <c r="F385" s="4"/>
      <c r="G385" s="4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7"/>
      <c r="E386" s="4"/>
      <c r="F386" s="4"/>
      <c r="G386" s="4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7"/>
      <c r="E387" s="4"/>
      <c r="F387" s="4"/>
      <c r="G387" s="4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7"/>
      <c r="E388" s="4"/>
      <c r="F388" s="4"/>
      <c r="G388" s="4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7"/>
      <c r="E389" s="4"/>
      <c r="F389" s="4"/>
      <c r="G389" s="4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7"/>
      <c r="E390" s="4"/>
      <c r="F390" s="4"/>
      <c r="G390" s="4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7"/>
      <c r="E391" s="4"/>
      <c r="F391" s="4"/>
      <c r="G391" s="4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7"/>
      <c r="E392" s="4"/>
      <c r="F392" s="4"/>
      <c r="G392" s="4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7"/>
      <c r="E393" s="4"/>
      <c r="F393" s="4"/>
      <c r="G393" s="4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7"/>
      <c r="E394" s="4"/>
      <c r="F394" s="4"/>
      <c r="G394" s="4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7"/>
      <c r="E395" s="4"/>
      <c r="F395" s="4"/>
      <c r="G395" s="4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7"/>
      <c r="E396" s="4"/>
      <c r="F396" s="4"/>
      <c r="G396" s="4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7"/>
      <c r="E397" s="4"/>
      <c r="F397" s="4"/>
      <c r="G397" s="4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7"/>
      <c r="E398" s="4"/>
      <c r="F398" s="4"/>
      <c r="G398" s="4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7"/>
      <c r="E399" s="4"/>
      <c r="F399" s="4"/>
      <c r="G399" s="4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7"/>
      <c r="E400" s="4"/>
      <c r="F400" s="4"/>
      <c r="G400" s="4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7"/>
      <c r="E401" s="4"/>
      <c r="F401" s="4"/>
      <c r="G401" s="4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7"/>
      <c r="E402" s="4"/>
      <c r="F402" s="4"/>
      <c r="G402" s="4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7"/>
      <c r="E403" s="4"/>
      <c r="F403" s="4"/>
      <c r="G403" s="4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7"/>
      <c r="E404" s="4"/>
      <c r="F404" s="4"/>
      <c r="G404" s="4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7"/>
      <c r="E405" s="4"/>
      <c r="F405" s="4"/>
      <c r="G405" s="4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7"/>
      <c r="E406" s="4"/>
      <c r="F406" s="4"/>
      <c r="G406" s="4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7"/>
      <c r="E407" s="4"/>
      <c r="F407" s="4"/>
      <c r="G407" s="4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7"/>
      <c r="E408" s="4"/>
      <c r="F408" s="4"/>
      <c r="G408" s="4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7"/>
      <c r="E409" s="4"/>
      <c r="F409" s="4"/>
      <c r="G409" s="4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7"/>
      <c r="E410" s="4"/>
      <c r="F410" s="4"/>
      <c r="G410" s="4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7"/>
      <c r="E411" s="4"/>
      <c r="F411" s="4"/>
      <c r="G411" s="4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7"/>
      <c r="E412" s="4"/>
      <c r="F412" s="4"/>
      <c r="G412" s="4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7"/>
      <c r="E413" s="4"/>
      <c r="F413" s="4"/>
      <c r="G413" s="4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7"/>
      <c r="E414" s="4"/>
      <c r="F414" s="4"/>
      <c r="G414" s="4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7"/>
      <c r="E415" s="4"/>
      <c r="F415" s="4"/>
      <c r="G415" s="4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7"/>
      <c r="E416" s="4"/>
      <c r="F416" s="4"/>
      <c r="G416" s="4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7"/>
      <c r="E417" s="4"/>
      <c r="F417" s="4"/>
      <c r="G417" s="4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7"/>
      <c r="E418" s="4"/>
      <c r="F418" s="4"/>
      <c r="G418" s="4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7"/>
      <c r="E419" s="4"/>
      <c r="F419" s="4"/>
      <c r="G419" s="4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7"/>
      <c r="E420" s="4"/>
      <c r="F420" s="4"/>
      <c r="G420" s="4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7"/>
      <c r="E421" s="4"/>
      <c r="F421" s="4"/>
      <c r="G421" s="4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7"/>
      <c r="E422" s="4"/>
      <c r="F422" s="4"/>
      <c r="G422" s="4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7"/>
      <c r="E423" s="4"/>
      <c r="F423" s="4"/>
      <c r="G423" s="4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7"/>
      <c r="E424" s="4"/>
      <c r="F424" s="4"/>
      <c r="G424" s="4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7"/>
      <c r="E425" s="4"/>
      <c r="F425" s="4"/>
      <c r="G425" s="4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7"/>
      <c r="E426" s="4"/>
      <c r="F426" s="4"/>
      <c r="G426" s="4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7"/>
      <c r="E427" s="4"/>
      <c r="F427" s="4"/>
      <c r="G427" s="4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7"/>
      <c r="E428" s="4"/>
      <c r="F428" s="4"/>
      <c r="G428" s="4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7"/>
      <c r="E429" s="4"/>
      <c r="F429" s="4"/>
      <c r="G429" s="4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7"/>
      <c r="E430" s="4"/>
      <c r="F430" s="4"/>
      <c r="G430" s="4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7"/>
      <c r="E431" s="4"/>
      <c r="F431" s="4"/>
      <c r="G431" s="4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7"/>
      <c r="E432" s="4"/>
      <c r="F432" s="4"/>
      <c r="G432" s="4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7"/>
      <c r="E433" s="4"/>
      <c r="F433" s="4"/>
      <c r="G433" s="4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7"/>
      <c r="E434" s="4"/>
      <c r="F434" s="4"/>
      <c r="G434" s="4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7"/>
      <c r="E435" s="4"/>
      <c r="F435" s="4"/>
      <c r="G435" s="4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7"/>
      <c r="E436" s="4"/>
      <c r="F436" s="4"/>
      <c r="G436" s="4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7"/>
      <c r="E437" s="4"/>
      <c r="F437" s="4"/>
      <c r="G437" s="4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7"/>
      <c r="E438" s="4"/>
      <c r="F438" s="4"/>
      <c r="G438" s="4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7"/>
      <c r="E439" s="4"/>
      <c r="F439" s="4"/>
      <c r="G439" s="4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7"/>
      <c r="E440" s="4"/>
      <c r="F440" s="4"/>
      <c r="G440" s="4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7"/>
      <c r="E441" s="4"/>
      <c r="F441" s="4"/>
      <c r="G441" s="4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7"/>
      <c r="E442" s="4"/>
      <c r="F442" s="4"/>
      <c r="G442" s="4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7"/>
      <c r="E443" s="4"/>
      <c r="F443" s="4"/>
      <c r="G443" s="4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7"/>
      <c r="E444" s="4"/>
      <c r="F444" s="4"/>
      <c r="G444" s="4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7"/>
      <c r="E445" s="4"/>
      <c r="F445" s="4"/>
      <c r="G445" s="4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7"/>
      <c r="E446" s="4"/>
      <c r="F446" s="4"/>
      <c r="G446" s="4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7"/>
      <c r="E447" s="4"/>
      <c r="F447" s="4"/>
      <c r="G447" s="4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7"/>
      <c r="E448" s="4"/>
      <c r="F448" s="4"/>
      <c r="G448" s="4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7"/>
      <c r="E449" s="4"/>
      <c r="F449" s="4"/>
      <c r="G449" s="4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7"/>
      <c r="E450" s="4"/>
      <c r="F450" s="4"/>
      <c r="G450" s="4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7"/>
      <c r="E451" s="4"/>
      <c r="F451" s="4"/>
      <c r="G451" s="4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7"/>
      <c r="E452" s="4"/>
      <c r="F452" s="4"/>
      <c r="G452" s="4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7"/>
      <c r="E453" s="4"/>
      <c r="F453" s="4"/>
      <c r="G453" s="4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7"/>
      <c r="E454" s="4"/>
      <c r="F454" s="4"/>
      <c r="G454" s="4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7"/>
      <c r="E455" s="4"/>
      <c r="F455" s="4"/>
      <c r="G455" s="4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7"/>
      <c r="E456" s="4"/>
      <c r="F456" s="4"/>
      <c r="G456" s="4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7"/>
      <c r="E457" s="4"/>
      <c r="F457" s="4"/>
      <c r="G457" s="4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7"/>
      <c r="E458" s="4"/>
      <c r="F458" s="4"/>
      <c r="G458" s="4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7"/>
      <c r="E459" s="4"/>
      <c r="F459" s="4"/>
      <c r="G459" s="4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7"/>
      <c r="E460" s="4"/>
      <c r="F460" s="4"/>
      <c r="G460" s="4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7"/>
      <c r="E461" s="4"/>
      <c r="F461" s="4"/>
      <c r="G461" s="4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7"/>
      <c r="E462" s="4"/>
      <c r="F462" s="4"/>
      <c r="G462" s="4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7"/>
      <c r="E463" s="4"/>
      <c r="F463" s="4"/>
      <c r="G463" s="4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7"/>
      <c r="E464" s="4"/>
      <c r="F464" s="4"/>
      <c r="G464" s="4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7"/>
      <c r="E465" s="4"/>
      <c r="F465" s="4"/>
      <c r="G465" s="4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7"/>
      <c r="E466" s="4"/>
      <c r="F466" s="4"/>
      <c r="G466" s="4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7"/>
      <c r="E467" s="4"/>
      <c r="F467" s="4"/>
      <c r="G467" s="4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7"/>
      <c r="E468" s="4"/>
      <c r="F468" s="4"/>
      <c r="G468" s="4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7"/>
      <c r="E469" s="4"/>
      <c r="F469" s="4"/>
      <c r="G469" s="4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7"/>
      <c r="E470" s="4"/>
      <c r="F470" s="4"/>
      <c r="G470" s="4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7"/>
      <c r="E471" s="4"/>
      <c r="F471" s="4"/>
      <c r="G471" s="4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7"/>
      <c r="E472" s="4"/>
      <c r="F472" s="4"/>
      <c r="G472" s="4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7"/>
      <c r="E473" s="4"/>
      <c r="F473" s="4"/>
      <c r="G473" s="4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7"/>
      <c r="E474" s="4"/>
      <c r="F474" s="4"/>
      <c r="G474" s="4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7"/>
      <c r="E475" s="4"/>
      <c r="F475" s="4"/>
      <c r="G475" s="4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7"/>
      <c r="E476" s="4"/>
      <c r="F476" s="4"/>
      <c r="G476" s="4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7"/>
      <c r="E477" s="4"/>
      <c r="F477" s="4"/>
      <c r="G477" s="4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7"/>
      <c r="E478" s="4"/>
      <c r="F478" s="4"/>
      <c r="G478" s="4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7"/>
      <c r="E479" s="4"/>
      <c r="F479" s="4"/>
      <c r="G479" s="4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7"/>
      <c r="E480" s="4"/>
      <c r="F480" s="4"/>
      <c r="G480" s="4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7"/>
      <c r="E481" s="4"/>
      <c r="F481" s="4"/>
      <c r="G481" s="4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7"/>
      <c r="E482" s="4"/>
      <c r="F482" s="4"/>
      <c r="G482" s="4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7"/>
      <c r="E483" s="4"/>
      <c r="F483" s="4"/>
      <c r="G483" s="4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7"/>
      <c r="E484" s="4"/>
      <c r="F484" s="4"/>
      <c r="G484" s="4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7"/>
      <c r="E485" s="4"/>
      <c r="F485" s="4"/>
      <c r="G485" s="4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7"/>
      <c r="E486" s="4"/>
      <c r="F486" s="4"/>
      <c r="G486" s="4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7"/>
      <c r="E487" s="4"/>
      <c r="F487" s="4"/>
      <c r="G487" s="4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7"/>
      <c r="E488" s="4"/>
      <c r="F488" s="4"/>
      <c r="G488" s="4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7"/>
      <c r="E489" s="4"/>
      <c r="F489" s="4"/>
      <c r="G489" s="4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7"/>
      <c r="E490" s="4"/>
      <c r="F490" s="4"/>
      <c r="G490" s="4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7"/>
      <c r="E491" s="4"/>
      <c r="F491" s="4"/>
      <c r="G491" s="4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7"/>
      <c r="E492" s="4"/>
      <c r="F492" s="4"/>
      <c r="G492" s="4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7"/>
      <c r="E493" s="4"/>
      <c r="F493" s="4"/>
      <c r="G493" s="4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7"/>
      <c r="E494" s="4"/>
      <c r="F494" s="4"/>
      <c r="G494" s="4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7"/>
      <c r="E495" s="4"/>
      <c r="F495" s="4"/>
      <c r="G495" s="4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7"/>
      <c r="E496" s="4"/>
      <c r="F496" s="4"/>
      <c r="G496" s="4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7"/>
      <c r="E497" s="4"/>
      <c r="F497" s="4"/>
      <c r="G497" s="4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7"/>
      <c r="E498" s="4"/>
      <c r="F498" s="4"/>
      <c r="G498" s="4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7"/>
      <c r="E499" s="4"/>
      <c r="F499" s="4"/>
      <c r="G499" s="4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7"/>
      <c r="E500" s="4"/>
      <c r="F500" s="4"/>
      <c r="G500" s="4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7"/>
      <c r="E501" s="4"/>
      <c r="F501" s="4"/>
      <c r="G501" s="4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7"/>
      <c r="E502" s="4"/>
      <c r="F502" s="4"/>
      <c r="G502" s="4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7"/>
      <c r="E503" s="4"/>
      <c r="F503" s="4"/>
      <c r="G503" s="4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7"/>
      <c r="E504" s="4"/>
      <c r="F504" s="4"/>
      <c r="G504" s="4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7"/>
      <c r="E505" s="4"/>
      <c r="F505" s="4"/>
      <c r="G505" s="4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7"/>
      <c r="E506" s="4"/>
      <c r="F506" s="4"/>
      <c r="G506" s="4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7"/>
      <c r="E507" s="4"/>
      <c r="F507" s="4"/>
      <c r="G507" s="4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7"/>
      <c r="E508" s="4"/>
      <c r="F508" s="4"/>
      <c r="G508" s="4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7"/>
      <c r="E509" s="4"/>
      <c r="F509" s="4"/>
      <c r="G509" s="4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7"/>
      <c r="E510" s="4"/>
      <c r="F510" s="4"/>
      <c r="G510" s="4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7"/>
      <c r="E511" s="4"/>
      <c r="F511" s="4"/>
      <c r="G511" s="4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7"/>
      <c r="E512" s="4"/>
      <c r="F512" s="4"/>
      <c r="G512" s="4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7"/>
      <c r="E513" s="4"/>
      <c r="F513" s="4"/>
      <c r="G513" s="4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7"/>
      <c r="E514" s="4"/>
      <c r="F514" s="4"/>
      <c r="G514" s="4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7"/>
      <c r="E515" s="4"/>
      <c r="F515" s="4"/>
      <c r="G515" s="4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7"/>
      <c r="E516" s="4"/>
      <c r="F516" s="4"/>
      <c r="G516" s="4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7"/>
      <c r="E517" s="4"/>
      <c r="F517" s="4"/>
      <c r="G517" s="4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7"/>
      <c r="E518" s="4"/>
      <c r="F518" s="4"/>
      <c r="G518" s="4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7"/>
      <c r="E519" s="4"/>
      <c r="F519" s="4"/>
      <c r="G519" s="4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7"/>
      <c r="E520" s="4"/>
      <c r="F520" s="4"/>
      <c r="G520" s="4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7"/>
      <c r="E521" s="4"/>
      <c r="F521" s="4"/>
      <c r="G521" s="4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7"/>
      <c r="E522" s="4"/>
      <c r="F522" s="4"/>
      <c r="G522" s="4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7"/>
      <c r="E523" s="4"/>
      <c r="F523" s="4"/>
      <c r="G523" s="4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7"/>
      <c r="E524" s="4"/>
      <c r="F524" s="4"/>
      <c r="G524" s="4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7"/>
      <c r="E525" s="4"/>
      <c r="F525" s="4"/>
      <c r="G525" s="4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7"/>
      <c r="E526" s="4"/>
      <c r="F526" s="4"/>
      <c r="G526" s="4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7"/>
      <c r="E527" s="4"/>
      <c r="F527" s="4"/>
      <c r="G527" s="4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7"/>
      <c r="E528" s="4"/>
      <c r="F528" s="4"/>
      <c r="G528" s="4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7"/>
      <c r="E529" s="4"/>
      <c r="F529" s="4"/>
      <c r="G529" s="4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7"/>
      <c r="E530" s="4"/>
      <c r="F530" s="4"/>
      <c r="G530" s="4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7"/>
      <c r="E531" s="4"/>
      <c r="F531" s="4"/>
      <c r="G531" s="4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7"/>
      <c r="E532" s="4"/>
      <c r="F532" s="4"/>
      <c r="G532" s="4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7"/>
      <c r="E533" s="4"/>
      <c r="F533" s="4"/>
      <c r="G533" s="4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7"/>
      <c r="E534" s="4"/>
      <c r="F534" s="4"/>
      <c r="G534" s="4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7"/>
      <c r="E535" s="4"/>
      <c r="F535" s="4"/>
      <c r="G535" s="4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7"/>
      <c r="E536" s="4"/>
      <c r="F536" s="4"/>
      <c r="G536" s="4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7"/>
      <c r="E537" s="4"/>
      <c r="F537" s="4"/>
      <c r="G537" s="4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7"/>
      <c r="E538" s="4"/>
      <c r="F538" s="4"/>
      <c r="G538" s="4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7"/>
      <c r="E539" s="4"/>
      <c r="F539" s="4"/>
      <c r="G539" s="4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7"/>
      <c r="E540" s="4"/>
      <c r="F540" s="4"/>
      <c r="G540" s="4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7"/>
      <c r="E541" s="4"/>
      <c r="F541" s="4"/>
      <c r="G541" s="4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7"/>
      <c r="E542" s="4"/>
      <c r="F542" s="4"/>
      <c r="G542" s="4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7"/>
      <c r="E543" s="4"/>
      <c r="F543" s="4"/>
      <c r="G543" s="4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7"/>
      <c r="E544" s="4"/>
      <c r="F544" s="4"/>
      <c r="G544" s="4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7"/>
      <c r="E545" s="4"/>
      <c r="F545" s="4"/>
      <c r="G545" s="4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7"/>
      <c r="E546" s="4"/>
      <c r="F546" s="4"/>
      <c r="G546" s="4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7"/>
      <c r="E547" s="4"/>
      <c r="F547" s="4"/>
      <c r="G547" s="4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7"/>
      <c r="E548" s="4"/>
      <c r="F548" s="4"/>
      <c r="G548" s="4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7"/>
      <c r="E549" s="4"/>
      <c r="F549" s="4"/>
      <c r="G549" s="4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7"/>
      <c r="E550" s="4"/>
      <c r="F550" s="4"/>
      <c r="G550" s="4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7"/>
      <c r="E551" s="4"/>
      <c r="F551" s="4"/>
      <c r="G551" s="4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7"/>
      <c r="E552" s="4"/>
      <c r="F552" s="4"/>
      <c r="G552" s="4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7"/>
      <c r="E553" s="4"/>
      <c r="F553" s="4"/>
      <c r="G553" s="4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7"/>
      <c r="E554" s="4"/>
      <c r="F554" s="4"/>
      <c r="G554" s="4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7"/>
      <c r="E555" s="4"/>
      <c r="F555" s="4"/>
      <c r="G555" s="4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7"/>
      <c r="E556" s="4"/>
      <c r="F556" s="4"/>
      <c r="G556" s="4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7"/>
      <c r="E557" s="4"/>
      <c r="F557" s="4"/>
      <c r="G557" s="4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7"/>
      <c r="E558" s="4"/>
      <c r="F558" s="4"/>
      <c r="G558" s="4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7"/>
      <c r="E559" s="4"/>
      <c r="F559" s="4"/>
      <c r="G559" s="4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7"/>
      <c r="E560" s="4"/>
      <c r="F560" s="4"/>
      <c r="G560" s="4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7"/>
      <c r="E561" s="4"/>
      <c r="F561" s="4"/>
      <c r="G561" s="4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7"/>
      <c r="E562" s="4"/>
      <c r="F562" s="4"/>
      <c r="G562" s="4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7"/>
      <c r="E563" s="4"/>
      <c r="F563" s="4"/>
      <c r="G563" s="4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7"/>
      <c r="E564" s="4"/>
      <c r="F564" s="4"/>
      <c r="G564" s="4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7"/>
      <c r="E565" s="4"/>
      <c r="F565" s="4"/>
      <c r="G565" s="4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7"/>
      <c r="E566" s="4"/>
      <c r="F566" s="4"/>
      <c r="G566" s="4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7"/>
      <c r="E567" s="4"/>
      <c r="F567" s="4"/>
      <c r="G567" s="4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7"/>
      <c r="E568" s="4"/>
      <c r="F568" s="4"/>
      <c r="G568" s="4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7"/>
      <c r="E569" s="4"/>
      <c r="F569" s="4"/>
      <c r="G569" s="4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7"/>
      <c r="E570" s="4"/>
      <c r="F570" s="4"/>
      <c r="G570" s="4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7"/>
      <c r="E571" s="4"/>
      <c r="F571" s="4"/>
      <c r="G571" s="4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7"/>
      <c r="E572" s="4"/>
      <c r="F572" s="4"/>
      <c r="G572" s="4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7"/>
      <c r="E573" s="4"/>
      <c r="F573" s="4"/>
      <c r="G573" s="4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7"/>
      <c r="E574" s="4"/>
      <c r="F574" s="4"/>
      <c r="G574" s="4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7"/>
      <c r="E575" s="4"/>
      <c r="F575" s="4"/>
      <c r="G575" s="4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7"/>
      <c r="E576" s="4"/>
      <c r="F576" s="4"/>
      <c r="G576" s="4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7"/>
      <c r="E577" s="4"/>
      <c r="F577" s="4"/>
      <c r="G577" s="4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7"/>
      <c r="E578" s="4"/>
      <c r="F578" s="4"/>
      <c r="G578" s="4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7"/>
      <c r="E579" s="4"/>
      <c r="F579" s="4"/>
      <c r="G579" s="4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7"/>
      <c r="E580" s="4"/>
      <c r="F580" s="4"/>
      <c r="G580" s="4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7"/>
      <c r="E581" s="4"/>
      <c r="F581" s="4"/>
      <c r="G581" s="4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7"/>
      <c r="E582" s="4"/>
      <c r="F582" s="4"/>
      <c r="G582" s="4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7"/>
      <c r="E583" s="4"/>
      <c r="F583" s="4"/>
      <c r="G583" s="4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7"/>
      <c r="E584" s="4"/>
      <c r="F584" s="4"/>
      <c r="G584" s="4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7"/>
      <c r="E585" s="4"/>
      <c r="F585" s="4"/>
      <c r="G585" s="4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7"/>
      <c r="E586" s="4"/>
      <c r="F586" s="4"/>
      <c r="G586" s="4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7"/>
      <c r="E587" s="4"/>
      <c r="F587" s="4"/>
      <c r="G587" s="4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7"/>
      <c r="E588" s="4"/>
      <c r="F588" s="4"/>
      <c r="G588" s="4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7"/>
      <c r="E589" s="4"/>
      <c r="F589" s="4"/>
      <c r="G589" s="4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7"/>
      <c r="E590" s="4"/>
      <c r="F590" s="4"/>
      <c r="G590" s="4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7"/>
      <c r="E591" s="4"/>
      <c r="F591" s="4"/>
      <c r="G591" s="4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7"/>
      <c r="E592" s="4"/>
      <c r="F592" s="4"/>
      <c r="G592" s="4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7"/>
      <c r="E593" s="4"/>
      <c r="F593" s="4"/>
      <c r="G593" s="4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7"/>
      <c r="E594" s="4"/>
      <c r="F594" s="4"/>
      <c r="G594" s="4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7"/>
      <c r="E595" s="4"/>
      <c r="F595" s="4"/>
      <c r="G595" s="4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7"/>
      <c r="E596" s="4"/>
      <c r="F596" s="4"/>
      <c r="G596" s="4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7"/>
      <c r="E597" s="4"/>
      <c r="F597" s="4"/>
      <c r="G597" s="4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7"/>
      <c r="E598" s="4"/>
      <c r="F598" s="4"/>
      <c r="G598" s="4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7"/>
      <c r="E599" s="4"/>
      <c r="F599" s="4"/>
      <c r="G599" s="4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7"/>
      <c r="E600" s="4"/>
      <c r="F600" s="4"/>
      <c r="G600" s="4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7"/>
      <c r="E601" s="4"/>
      <c r="F601" s="4"/>
      <c r="G601" s="4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7"/>
      <c r="E602" s="4"/>
      <c r="F602" s="4"/>
      <c r="G602" s="4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7"/>
      <c r="E603" s="4"/>
      <c r="F603" s="4"/>
      <c r="G603" s="4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7"/>
      <c r="E604" s="4"/>
      <c r="F604" s="4"/>
      <c r="G604" s="4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7"/>
      <c r="E605" s="4"/>
      <c r="F605" s="4"/>
      <c r="G605" s="4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7"/>
      <c r="E606" s="4"/>
      <c r="F606" s="4"/>
      <c r="G606" s="4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7"/>
      <c r="E607" s="4"/>
      <c r="F607" s="4"/>
      <c r="G607" s="4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7"/>
      <c r="E608" s="4"/>
      <c r="F608" s="4"/>
      <c r="G608" s="4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7"/>
      <c r="E609" s="4"/>
      <c r="F609" s="4"/>
      <c r="G609" s="4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7"/>
      <c r="E610" s="4"/>
      <c r="F610" s="4"/>
      <c r="G610" s="4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7"/>
      <c r="E611" s="4"/>
      <c r="F611" s="4"/>
      <c r="G611" s="4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7"/>
      <c r="E612" s="4"/>
      <c r="F612" s="4"/>
      <c r="G612" s="4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7"/>
      <c r="E613" s="4"/>
      <c r="F613" s="4"/>
      <c r="G613" s="4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7"/>
      <c r="E614" s="4"/>
      <c r="F614" s="4"/>
      <c r="G614" s="4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7"/>
      <c r="E615" s="4"/>
      <c r="F615" s="4"/>
      <c r="G615" s="4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7"/>
      <c r="E616" s="4"/>
      <c r="F616" s="4"/>
      <c r="G616" s="4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7"/>
      <c r="E617" s="4"/>
      <c r="F617" s="4"/>
      <c r="G617" s="4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7"/>
      <c r="E618" s="4"/>
      <c r="F618" s="4"/>
      <c r="G618" s="4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7"/>
      <c r="E619" s="4"/>
      <c r="F619" s="4"/>
      <c r="G619" s="4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7"/>
      <c r="E620" s="4"/>
      <c r="F620" s="4"/>
      <c r="G620" s="4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7"/>
      <c r="E621" s="4"/>
      <c r="F621" s="4"/>
      <c r="G621" s="4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7"/>
      <c r="E622" s="4"/>
      <c r="F622" s="4"/>
      <c r="G622" s="4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7"/>
      <c r="E623" s="4"/>
      <c r="F623" s="4"/>
      <c r="G623" s="4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7"/>
      <c r="E624" s="4"/>
      <c r="F624" s="4"/>
      <c r="G624" s="4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7"/>
      <c r="E625" s="4"/>
      <c r="F625" s="4"/>
      <c r="G625" s="4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7"/>
      <c r="E626" s="4"/>
      <c r="F626" s="4"/>
      <c r="G626" s="4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7"/>
      <c r="E627" s="4"/>
      <c r="F627" s="4"/>
      <c r="G627" s="4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7"/>
      <c r="E628" s="4"/>
      <c r="F628" s="4"/>
      <c r="G628" s="4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7"/>
      <c r="E629" s="4"/>
      <c r="F629" s="4"/>
      <c r="G629" s="4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7"/>
      <c r="E630" s="4"/>
      <c r="F630" s="4"/>
      <c r="G630" s="4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7"/>
      <c r="E631" s="4"/>
      <c r="F631" s="4"/>
      <c r="G631" s="4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7"/>
      <c r="E632" s="4"/>
      <c r="F632" s="4"/>
      <c r="G632" s="4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7"/>
      <c r="E633" s="4"/>
      <c r="F633" s="4"/>
      <c r="G633" s="4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7"/>
      <c r="E634" s="4"/>
      <c r="F634" s="4"/>
      <c r="G634" s="4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7"/>
      <c r="E635" s="4"/>
      <c r="F635" s="4"/>
      <c r="G635" s="4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7"/>
      <c r="E636" s="4"/>
      <c r="F636" s="4"/>
      <c r="G636" s="4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7"/>
      <c r="E637" s="4"/>
      <c r="F637" s="4"/>
      <c r="G637" s="4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7"/>
      <c r="E638" s="4"/>
      <c r="F638" s="4"/>
      <c r="G638" s="4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7"/>
      <c r="E639" s="4"/>
      <c r="F639" s="4"/>
      <c r="G639" s="4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7"/>
      <c r="E640" s="4"/>
      <c r="F640" s="4"/>
      <c r="G640" s="4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7"/>
      <c r="E641" s="4"/>
      <c r="F641" s="4"/>
      <c r="G641" s="4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7"/>
      <c r="E642" s="4"/>
      <c r="F642" s="4"/>
      <c r="G642" s="4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7"/>
      <c r="E643" s="4"/>
      <c r="F643" s="4"/>
      <c r="G643" s="4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7"/>
      <c r="E644" s="4"/>
      <c r="F644" s="4"/>
      <c r="G644" s="4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7"/>
      <c r="E645" s="4"/>
      <c r="F645" s="4"/>
      <c r="G645" s="4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7"/>
      <c r="E646" s="4"/>
      <c r="F646" s="4"/>
      <c r="G646" s="4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7"/>
      <c r="E647" s="4"/>
      <c r="F647" s="4"/>
      <c r="G647" s="4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7"/>
      <c r="E648" s="4"/>
      <c r="F648" s="4"/>
      <c r="G648" s="4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7"/>
      <c r="E649" s="4"/>
      <c r="F649" s="4"/>
      <c r="G649" s="4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7"/>
      <c r="E650" s="4"/>
      <c r="F650" s="4"/>
      <c r="G650" s="4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7"/>
      <c r="E651" s="4"/>
      <c r="F651" s="4"/>
      <c r="G651" s="4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7"/>
      <c r="E652" s="4"/>
      <c r="F652" s="4"/>
      <c r="G652" s="4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7"/>
      <c r="E653" s="4"/>
      <c r="F653" s="4"/>
      <c r="G653" s="4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7"/>
      <c r="E654" s="4"/>
      <c r="F654" s="4"/>
      <c r="G654" s="4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7"/>
      <c r="E655" s="4"/>
      <c r="F655" s="4"/>
      <c r="G655" s="4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7"/>
      <c r="E656" s="4"/>
      <c r="F656" s="4"/>
      <c r="G656" s="4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7"/>
      <c r="E657" s="4"/>
      <c r="F657" s="4"/>
      <c r="G657" s="4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7"/>
      <c r="E658" s="4"/>
      <c r="F658" s="4"/>
      <c r="G658" s="4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7"/>
      <c r="E659" s="4"/>
      <c r="F659" s="4"/>
      <c r="G659" s="4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7"/>
      <c r="E660" s="4"/>
      <c r="F660" s="4"/>
      <c r="G660" s="4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7"/>
      <c r="E661" s="4"/>
      <c r="F661" s="4"/>
      <c r="G661" s="4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7"/>
      <c r="E662" s="4"/>
      <c r="F662" s="4"/>
      <c r="G662" s="4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7"/>
      <c r="E663" s="4"/>
      <c r="F663" s="4"/>
      <c r="G663" s="4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7"/>
      <c r="E664" s="4"/>
      <c r="F664" s="4"/>
      <c r="G664" s="4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7"/>
      <c r="E665" s="4"/>
      <c r="F665" s="4"/>
      <c r="G665" s="4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7"/>
      <c r="E666" s="4"/>
      <c r="F666" s="4"/>
      <c r="G666" s="4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7"/>
      <c r="E667" s="4"/>
      <c r="F667" s="4"/>
      <c r="G667" s="4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7"/>
      <c r="E668" s="4"/>
      <c r="F668" s="4"/>
      <c r="G668" s="4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7"/>
      <c r="E669" s="4"/>
      <c r="F669" s="4"/>
      <c r="G669" s="4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7"/>
      <c r="E670" s="4"/>
      <c r="F670" s="4"/>
      <c r="G670" s="4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7"/>
      <c r="E671" s="4"/>
      <c r="F671" s="4"/>
      <c r="G671" s="4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7"/>
      <c r="E672" s="4"/>
      <c r="F672" s="4"/>
      <c r="G672" s="4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7"/>
      <c r="E673" s="4"/>
      <c r="F673" s="4"/>
      <c r="G673" s="4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7"/>
      <c r="E674" s="4"/>
      <c r="F674" s="4"/>
      <c r="G674" s="4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7"/>
      <c r="E675" s="4"/>
      <c r="F675" s="4"/>
      <c r="G675" s="4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7"/>
      <c r="E676" s="4"/>
      <c r="F676" s="4"/>
      <c r="G676" s="4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7"/>
      <c r="E677" s="4"/>
      <c r="F677" s="4"/>
      <c r="G677" s="4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7"/>
      <c r="E678" s="4"/>
      <c r="F678" s="4"/>
      <c r="G678" s="4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7"/>
      <c r="E679" s="4"/>
      <c r="F679" s="4"/>
      <c r="G679" s="4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7"/>
      <c r="E680" s="4"/>
      <c r="F680" s="4"/>
      <c r="G680" s="4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7"/>
      <c r="E681" s="4"/>
      <c r="F681" s="4"/>
      <c r="G681" s="4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7"/>
      <c r="E682" s="4"/>
      <c r="F682" s="4"/>
      <c r="G682" s="4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7"/>
      <c r="E683" s="4"/>
      <c r="F683" s="4"/>
      <c r="G683" s="4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7"/>
      <c r="E684" s="4"/>
      <c r="F684" s="4"/>
      <c r="G684" s="4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7"/>
      <c r="E685" s="4"/>
      <c r="F685" s="4"/>
      <c r="G685" s="4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7"/>
      <c r="E686" s="4"/>
      <c r="F686" s="4"/>
      <c r="G686" s="4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7"/>
      <c r="E687" s="4"/>
      <c r="F687" s="4"/>
      <c r="G687" s="4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7"/>
      <c r="E688" s="4"/>
      <c r="F688" s="4"/>
      <c r="G688" s="4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7"/>
      <c r="E689" s="4"/>
      <c r="F689" s="4"/>
      <c r="G689" s="4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7"/>
      <c r="E690" s="4"/>
      <c r="F690" s="4"/>
      <c r="G690" s="4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7"/>
      <c r="E691" s="4"/>
      <c r="F691" s="4"/>
      <c r="G691" s="4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7"/>
      <c r="E692" s="4"/>
      <c r="F692" s="4"/>
      <c r="G692" s="4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7"/>
      <c r="E693" s="4"/>
      <c r="F693" s="4"/>
      <c r="G693" s="4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7"/>
      <c r="E694" s="4"/>
      <c r="F694" s="4"/>
      <c r="G694" s="4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7"/>
      <c r="E695" s="4"/>
      <c r="F695" s="4"/>
      <c r="G695" s="4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7"/>
      <c r="E696" s="4"/>
      <c r="F696" s="4"/>
      <c r="G696" s="4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7"/>
      <c r="E697" s="4"/>
      <c r="F697" s="4"/>
      <c r="G697" s="4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7"/>
      <c r="E698" s="4"/>
      <c r="F698" s="4"/>
      <c r="G698" s="4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7"/>
      <c r="E699" s="4"/>
      <c r="F699" s="4"/>
      <c r="G699" s="4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7"/>
      <c r="E700" s="4"/>
      <c r="F700" s="4"/>
      <c r="G700" s="4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7"/>
      <c r="E701" s="4"/>
      <c r="F701" s="4"/>
      <c r="G701" s="4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7"/>
      <c r="E702" s="4"/>
      <c r="F702" s="4"/>
      <c r="G702" s="4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7"/>
      <c r="E703" s="4"/>
      <c r="F703" s="4"/>
      <c r="G703" s="4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7"/>
      <c r="E704" s="4"/>
      <c r="F704" s="4"/>
      <c r="G704" s="4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7"/>
      <c r="E705" s="4"/>
      <c r="F705" s="4"/>
      <c r="G705" s="4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7"/>
      <c r="E706" s="4"/>
      <c r="F706" s="4"/>
      <c r="G706" s="4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7"/>
      <c r="E707" s="4"/>
      <c r="F707" s="4"/>
      <c r="G707" s="4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7"/>
      <c r="E708" s="4"/>
      <c r="F708" s="4"/>
      <c r="G708" s="4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7"/>
      <c r="E709" s="4"/>
      <c r="F709" s="4"/>
      <c r="G709" s="4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7"/>
      <c r="E710" s="4"/>
      <c r="F710" s="4"/>
      <c r="G710" s="4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7"/>
      <c r="E711" s="4"/>
      <c r="F711" s="4"/>
      <c r="G711" s="4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7"/>
      <c r="E712" s="4"/>
      <c r="F712" s="4"/>
      <c r="G712" s="4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7"/>
      <c r="E713" s="4"/>
      <c r="F713" s="4"/>
      <c r="G713" s="4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7"/>
      <c r="E714" s="4"/>
      <c r="F714" s="4"/>
      <c r="G714" s="4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7"/>
      <c r="E715" s="4"/>
      <c r="F715" s="4"/>
      <c r="G715" s="4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7"/>
      <c r="E716" s="4"/>
      <c r="F716" s="4"/>
      <c r="G716" s="4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7"/>
      <c r="E717" s="4"/>
      <c r="F717" s="4"/>
      <c r="G717" s="4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7"/>
      <c r="E718" s="4"/>
      <c r="F718" s="4"/>
      <c r="G718" s="4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7"/>
      <c r="E719" s="4"/>
      <c r="F719" s="4"/>
      <c r="G719" s="4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7"/>
      <c r="E720" s="4"/>
      <c r="F720" s="4"/>
      <c r="G720" s="4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7"/>
      <c r="E721" s="4"/>
      <c r="F721" s="4"/>
      <c r="G721" s="4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7"/>
      <c r="E722" s="4"/>
      <c r="F722" s="4"/>
      <c r="G722" s="4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7"/>
      <c r="E723" s="4"/>
      <c r="F723" s="4"/>
      <c r="G723" s="4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7"/>
      <c r="E724" s="4"/>
      <c r="F724" s="4"/>
      <c r="G724" s="4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7"/>
      <c r="E725" s="4"/>
      <c r="F725" s="4"/>
      <c r="G725" s="4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7"/>
      <c r="E726" s="4"/>
      <c r="F726" s="4"/>
      <c r="G726" s="4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7"/>
      <c r="E727" s="4"/>
      <c r="F727" s="4"/>
      <c r="G727" s="4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7"/>
      <c r="E728" s="4"/>
      <c r="F728" s="4"/>
      <c r="G728" s="4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7"/>
      <c r="E729" s="4"/>
      <c r="F729" s="4"/>
      <c r="G729" s="4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7"/>
      <c r="E730" s="4"/>
      <c r="F730" s="4"/>
      <c r="G730" s="4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7"/>
      <c r="E731" s="4"/>
      <c r="F731" s="4"/>
      <c r="G731" s="4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7"/>
      <c r="E732" s="4"/>
      <c r="F732" s="4"/>
      <c r="G732" s="4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7"/>
      <c r="E733" s="4"/>
      <c r="F733" s="4"/>
      <c r="G733" s="4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7"/>
      <c r="E734" s="4"/>
      <c r="F734" s="4"/>
      <c r="G734" s="4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7"/>
      <c r="E735" s="4"/>
      <c r="F735" s="4"/>
      <c r="G735" s="4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7"/>
      <c r="E736" s="4"/>
      <c r="F736" s="4"/>
      <c r="G736" s="4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7"/>
      <c r="E737" s="4"/>
      <c r="F737" s="4"/>
      <c r="G737" s="4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7"/>
      <c r="E738" s="4"/>
      <c r="F738" s="4"/>
      <c r="G738" s="4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7"/>
      <c r="E739" s="4"/>
      <c r="F739" s="4"/>
      <c r="G739" s="4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7"/>
      <c r="E740" s="4"/>
      <c r="F740" s="4"/>
      <c r="G740" s="4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7"/>
      <c r="E741" s="4"/>
      <c r="F741" s="4"/>
      <c r="G741" s="4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7"/>
      <c r="E742" s="4"/>
      <c r="F742" s="4"/>
      <c r="G742" s="4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7"/>
      <c r="E743" s="4"/>
      <c r="F743" s="4"/>
      <c r="G743" s="4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7"/>
      <c r="E744" s="4"/>
      <c r="F744" s="4"/>
      <c r="G744" s="4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7"/>
      <c r="E745" s="4"/>
      <c r="F745" s="4"/>
      <c r="G745" s="4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7"/>
      <c r="E746" s="4"/>
      <c r="F746" s="4"/>
      <c r="G746" s="4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7"/>
      <c r="E747" s="4"/>
      <c r="F747" s="4"/>
      <c r="G747" s="4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7"/>
      <c r="E748" s="4"/>
      <c r="F748" s="4"/>
      <c r="G748" s="4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7"/>
      <c r="E749" s="4"/>
      <c r="F749" s="4"/>
      <c r="G749" s="4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7"/>
      <c r="E750" s="4"/>
      <c r="F750" s="4"/>
      <c r="G750" s="4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7"/>
      <c r="E751" s="4"/>
      <c r="F751" s="4"/>
      <c r="G751" s="4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7"/>
      <c r="E752" s="4"/>
      <c r="F752" s="4"/>
      <c r="G752" s="4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7"/>
      <c r="E753" s="4"/>
      <c r="F753" s="4"/>
      <c r="G753" s="4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7"/>
      <c r="E754" s="4"/>
      <c r="F754" s="4"/>
      <c r="G754" s="4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7"/>
      <c r="E755" s="4"/>
      <c r="F755" s="4"/>
      <c r="G755" s="4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7"/>
      <c r="E756" s="4"/>
      <c r="F756" s="4"/>
      <c r="G756" s="4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7"/>
      <c r="E757" s="4"/>
      <c r="F757" s="4"/>
      <c r="G757" s="4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7"/>
      <c r="E758" s="4"/>
      <c r="F758" s="4"/>
      <c r="G758" s="4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7"/>
      <c r="E759" s="4"/>
      <c r="F759" s="4"/>
      <c r="G759" s="4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7"/>
      <c r="E760" s="4"/>
      <c r="F760" s="4"/>
      <c r="G760" s="4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7"/>
      <c r="E761" s="4"/>
      <c r="F761" s="4"/>
      <c r="G761" s="4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7"/>
      <c r="E762" s="4"/>
      <c r="F762" s="4"/>
      <c r="G762" s="4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7"/>
      <c r="E763" s="4"/>
      <c r="F763" s="4"/>
      <c r="G763" s="4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7"/>
      <c r="E764" s="4"/>
      <c r="F764" s="4"/>
      <c r="G764" s="4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7"/>
      <c r="E765" s="4"/>
      <c r="F765" s="4"/>
      <c r="G765" s="4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7"/>
      <c r="E766" s="4"/>
      <c r="F766" s="4"/>
      <c r="G766" s="4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7"/>
      <c r="E767" s="4"/>
      <c r="F767" s="4"/>
      <c r="G767" s="4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7"/>
      <c r="E768" s="4"/>
      <c r="F768" s="4"/>
      <c r="G768" s="4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7"/>
      <c r="E769" s="4"/>
      <c r="F769" s="4"/>
      <c r="G769" s="4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7"/>
      <c r="E770" s="4"/>
      <c r="F770" s="4"/>
      <c r="G770" s="4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7"/>
      <c r="E771" s="4"/>
      <c r="F771" s="4"/>
      <c r="G771" s="4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7"/>
      <c r="E772" s="4"/>
      <c r="F772" s="4"/>
      <c r="G772" s="4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7"/>
      <c r="E773" s="4"/>
      <c r="F773" s="4"/>
      <c r="G773" s="4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7"/>
      <c r="E774" s="4"/>
      <c r="F774" s="4"/>
      <c r="G774" s="4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7"/>
      <c r="E775" s="4"/>
      <c r="F775" s="4"/>
      <c r="G775" s="4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7"/>
      <c r="E776" s="4"/>
      <c r="F776" s="4"/>
      <c r="G776" s="4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7"/>
      <c r="E777" s="4"/>
      <c r="F777" s="4"/>
      <c r="G777" s="4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7"/>
      <c r="E778" s="4"/>
      <c r="F778" s="4"/>
      <c r="G778" s="4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7"/>
      <c r="E779" s="4"/>
      <c r="F779" s="4"/>
      <c r="G779" s="4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7"/>
      <c r="E780" s="4"/>
      <c r="F780" s="4"/>
      <c r="G780" s="4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7"/>
      <c r="E781" s="4"/>
      <c r="F781" s="4"/>
      <c r="G781" s="4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7"/>
      <c r="E782" s="4"/>
      <c r="F782" s="4"/>
      <c r="G782" s="4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7"/>
      <c r="E783" s="4"/>
      <c r="F783" s="4"/>
      <c r="G783" s="4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7"/>
      <c r="E784" s="4"/>
      <c r="F784" s="4"/>
      <c r="G784" s="4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7"/>
      <c r="E785" s="4"/>
      <c r="F785" s="4"/>
      <c r="G785" s="4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7"/>
      <c r="E786" s="4"/>
      <c r="F786" s="4"/>
      <c r="G786" s="4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7"/>
      <c r="E787" s="4"/>
      <c r="F787" s="4"/>
      <c r="G787" s="4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7"/>
      <c r="E788" s="4"/>
      <c r="F788" s="4"/>
      <c r="G788" s="4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7"/>
      <c r="E789" s="4"/>
      <c r="F789" s="4"/>
      <c r="G789" s="4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7"/>
      <c r="E790" s="4"/>
      <c r="F790" s="4"/>
      <c r="G790" s="4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7"/>
      <c r="E791" s="4"/>
      <c r="F791" s="4"/>
      <c r="G791" s="4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7"/>
      <c r="E792" s="4"/>
      <c r="F792" s="4"/>
      <c r="G792" s="4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7"/>
      <c r="E793" s="4"/>
      <c r="F793" s="4"/>
      <c r="G793" s="4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7"/>
      <c r="E794" s="4"/>
      <c r="F794" s="4"/>
      <c r="G794" s="4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7"/>
      <c r="E795" s="4"/>
      <c r="F795" s="4"/>
      <c r="G795" s="4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7"/>
      <c r="E796" s="4"/>
      <c r="F796" s="4"/>
      <c r="G796" s="4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7"/>
      <c r="E797" s="4"/>
      <c r="F797" s="4"/>
      <c r="G797" s="4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7"/>
      <c r="E798" s="4"/>
      <c r="F798" s="4"/>
      <c r="G798" s="4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7"/>
      <c r="E799" s="4"/>
      <c r="F799" s="4"/>
      <c r="G799" s="4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7"/>
      <c r="E800" s="4"/>
      <c r="F800" s="4"/>
      <c r="G800" s="4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7"/>
      <c r="E801" s="4"/>
      <c r="F801" s="4"/>
      <c r="G801" s="4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7"/>
      <c r="E802" s="4"/>
      <c r="F802" s="4"/>
      <c r="G802" s="4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7"/>
      <c r="E803" s="4"/>
      <c r="F803" s="4"/>
      <c r="G803" s="4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7"/>
      <c r="E804" s="4"/>
      <c r="F804" s="4"/>
      <c r="G804" s="4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7"/>
      <c r="E805" s="4"/>
      <c r="F805" s="4"/>
      <c r="G805" s="4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7"/>
      <c r="E806" s="4"/>
      <c r="F806" s="4"/>
      <c r="G806" s="4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7"/>
      <c r="E807" s="4"/>
      <c r="F807" s="4"/>
      <c r="G807" s="4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7"/>
      <c r="E808" s="4"/>
      <c r="F808" s="4"/>
      <c r="G808" s="4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7"/>
      <c r="E809" s="4"/>
      <c r="F809" s="4"/>
      <c r="G809" s="4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7"/>
      <c r="E810" s="4"/>
      <c r="F810" s="4"/>
      <c r="G810" s="4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7"/>
      <c r="E811" s="4"/>
      <c r="F811" s="4"/>
      <c r="G811" s="4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7"/>
      <c r="E812" s="4"/>
      <c r="F812" s="4"/>
      <c r="G812" s="4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7"/>
      <c r="E813" s="4"/>
      <c r="F813" s="4"/>
      <c r="G813" s="4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7"/>
      <c r="E814" s="4"/>
      <c r="F814" s="4"/>
      <c r="G814" s="4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7"/>
      <c r="E815" s="4"/>
      <c r="F815" s="4"/>
      <c r="G815" s="4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7"/>
      <c r="E816" s="4"/>
      <c r="F816" s="4"/>
      <c r="G816" s="4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7"/>
      <c r="E817" s="4"/>
      <c r="F817" s="4"/>
      <c r="G817" s="4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7"/>
      <c r="E818" s="4"/>
      <c r="F818" s="4"/>
      <c r="G818" s="4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7"/>
      <c r="E819" s="4"/>
      <c r="F819" s="4"/>
      <c r="G819" s="4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7"/>
      <c r="E820" s="4"/>
      <c r="F820" s="4"/>
      <c r="G820" s="4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7"/>
      <c r="E821" s="4"/>
      <c r="F821" s="4"/>
      <c r="G821" s="4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7"/>
      <c r="E822" s="4"/>
      <c r="F822" s="4"/>
      <c r="G822" s="4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7"/>
      <c r="E823" s="4"/>
      <c r="F823" s="4"/>
      <c r="G823" s="4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7"/>
      <c r="E824" s="4"/>
      <c r="F824" s="4"/>
      <c r="G824" s="4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7"/>
      <c r="E825" s="4"/>
      <c r="F825" s="4"/>
      <c r="G825" s="4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7"/>
      <c r="E826" s="4"/>
      <c r="F826" s="4"/>
      <c r="G826" s="4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7"/>
      <c r="E827" s="4"/>
      <c r="F827" s="4"/>
      <c r="G827" s="4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7"/>
      <c r="E828" s="4"/>
      <c r="F828" s="4"/>
      <c r="G828" s="4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7"/>
      <c r="E829" s="4"/>
      <c r="F829" s="4"/>
      <c r="G829" s="4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7"/>
      <c r="E830" s="4"/>
      <c r="F830" s="4"/>
      <c r="G830" s="4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7"/>
      <c r="E831" s="4"/>
      <c r="F831" s="4"/>
      <c r="G831" s="4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7"/>
      <c r="E832" s="4"/>
      <c r="F832" s="4"/>
      <c r="G832" s="4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7"/>
      <c r="E833" s="4"/>
      <c r="F833" s="4"/>
      <c r="G833" s="4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7"/>
      <c r="E834" s="4"/>
      <c r="F834" s="4"/>
      <c r="G834" s="4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7"/>
      <c r="E835" s="4"/>
      <c r="F835" s="4"/>
      <c r="G835" s="4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7"/>
      <c r="E836" s="4"/>
      <c r="F836" s="4"/>
      <c r="G836" s="4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7"/>
      <c r="E837" s="4"/>
      <c r="F837" s="4"/>
      <c r="G837" s="4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7"/>
      <c r="E838" s="4"/>
      <c r="F838" s="4"/>
      <c r="G838" s="4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7"/>
      <c r="E839" s="4"/>
      <c r="F839" s="4"/>
      <c r="G839" s="4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7"/>
      <c r="E840" s="4"/>
      <c r="F840" s="4"/>
      <c r="G840" s="4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7"/>
      <c r="E841" s="4"/>
      <c r="F841" s="4"/>
      <c r="G841" s="4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7"/>
      <c r="E842" s="4"/>
      <c r="F842" s="4"/>
      <c r="G842" s="4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7"/>
      <c r="E843" s="4"/>
      <c r="F843" s="4"/>
      <c r="G843" s="4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7"/>
      <c r="E844" s="4"/>
      <c r="F844" s="4"/>
      <c r="G844" s="4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7"/>
      <c r="E845" s="4"/>
      <c r="F845" s="4"/>
      <c r="G845" s="4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7"/>
      <c r="E846" s="4"/>
      <c r="F846" s="4"/>
      <c r="G846" s="4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7"/>
      <c r="E847" s="4"/>
      <c r="F847" s="4"/>
      <c r="G847" s="4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7"/>
      <c r="E848" s="4"/>
      <c r="F848" s="4"/>
      <c r="G848" s="4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7"/>
      <c r="E849" s="4"/>
      <c r="F849" s="4"/>
      <c r="G849" s="4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7"/>
      <c r="E850" s="4"/>
      <c r="F850" s="4"/>
      <c r="G850" s="4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7"/>
      <c r="E851" s="4"/>
      <c r="F851" s="4"/>
      <c r="G851" s="4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7"/>
      <c r="E852" s="4"/>
      <c r="F852" s="4"/>
      <c r="G852" s="4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7"/>
      <c r="E853" s="4"/>
      <c r="F853" s="4"/>
      <c r="G853" s="4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7"/>
      <c r="E854" s="4"/>
      <c r="F854" s="4"/>
      <c r="G854" s="4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7"/>
      <c r="E855" s="4"/>
      <c r="F855" s="4"/>
      <c r="G855" s="4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7"/>
      <c r="E856" s="4"/>
      <c r="F856" s="4"/>
      <c r="G856" s="4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7"/>
      <c r="E857" s="4"/>
      <c r="F857" s="4"/>
      <c r="G857" s="4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7"/>
      <c r="E858" s="4"/>
      <c r="F858" s="4"/>
      <c r="G858" s="4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7"/>
      <c r="E859" s="4"/>
      <c r="F859" s="4"/>
      <c r="G859" s="4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7"/>
      <c r="E860" s="4"/>
      <c r="F860" s="4"/>
      <c r="G860" s="4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7"/>
      <c r="E861" s="4"/>
      <c r="F861" s="4"/>
      <c r="G861" s="4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7"/>
      <c r="E862" s="4"/>
      <c r="F862" s="4"/>
      <c r="G862" s="4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7"/>
      <c r="E863" s="4"/>
      <c r="F863" s="4"/>
      <c r="G863" s="4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7"/>
      <c r="E864" s="4"/>
      <c r="F864" s="4"/>
      <c r="G864" s="4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7"/>
      <c r="E865" s="4"/>
      <c r="F865" s="4"/>
      <c r="G865" s="4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7"/>
      <c r="E866" s="4"/>
      <c r="F866" s="4"/>
      <c r="G866" s="4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7"/>
      <c r="E867" s="4"/>
      <c r="F867" s="4"/>
      <c r="G867" s="4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7"/>
      <c r="E868" s="4"/>
      <c r="F868" s="4"/>
      <c r="G868" s="4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7"/>
      <c r="E869" s="4"/>
      <c r="F869" s="4"/>
      <c r="G869" s="4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7"/>
      <c r="E870" s="4"/>
      <c r="F870" s="4"/>
      <c r="G870" s="4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7"/>
      <c r="E871" s="4"/>
      <c r="F871" s="4"/>
      <c r="G871" s="4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7"/>
      <c r="E872" s="4"/>
      <c r="F872" s="4"/>
      <c r="G872" s="4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7"/>
      <c r="E873" s="4"/>
      <c r="F873" s="4"/>
      <c r="G873" s="4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7"/>
      <c r="E874" s="4"/>
      <c r="F874" s="4"/>
      <c r="G874" s="4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7"/>
      <c r="E875" s="4"/>
      <c r="F875" s="4"/>
      <c r="G875" s="4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7"/>
      <c r="E876" s="4"/>
      <c r="F876" s="4"/>
      <c r="G876" s="4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7"/>
      <c r="E877" s="4"/>
      <c r="F877" s="4"/>
      <c r="G877" s="4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7"/>
      <c r="E878" s="4"/>
      <c r="F878" s="4"/>
      <c r="G878" s="4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7"/>
      <c r="E879" s="4"/>
      <c r="F879" s="4"/>
      <c r="G879" s="4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7"/>
      <c r="E880" s="4"/>
      <c r="F880" s="4"/>
      <c r="G880" s="4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7"/>
      <c r="E881" s="4"/>
      <c r="F881" s="4"/>
      <c r="G881" s="4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7"/>
      <c r="E882" s="4"/>
      <c r="F882" s="4"/>
      <c r="G882" s="4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7"/>
      <c r="E883" s="4"/>
      <c r="F883" s="4"/>
      <c r="G883" s="4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7"/>
      <c r="E884" s="4"/>
      <c r="F884" s="4"/>
      <c r="G884" s="4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7"/>
      <c r="E885" s="4"/>
      <c r="F885" s="4"/>
      <c r="G885" s="4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7"/>
      <c r="E886" s="4"/>
      <c r="F886" s="4"/>
      <c r="G886" s="4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7"/>
      <c r="E887" s="4"/>
      <c r="F887" s="4"/>
      <c r="G887" s="4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7"/>
      <c r="E888" s="4"/>
      <c r="F888" s="4"/>
      <c r="G888" s="4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7"/>
      <c r="E889" s="4"/>
      <c r="F889" s="4"/>
      <c r="G889" s="4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7"/>
      <c r="E890" s="4"/>
      <c r="F890" s="4"/>
      <c r="G890" s="4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7"/>
      <c r="E891" s="4"/>
      <c r="F891" s="4"/>
      <c r="G891" s="4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7"/>
      <c r="E892" s="4"/>
      <c r="F892" s="4"/>
      <c r="G892" s="4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7"/>
      <c r="E893" s="4"/>
      <c r="F893" s="4"/>
      <c r="G893" s="4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7"/>
      <c r="E894" s="4"/>
      <c r="F894" s="4"/>
      <c r="G894" s="4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7"/>
      <c r="E895" s="4"/>
      <c r="F895" s="4"/>
      <c r="G895" s="4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7"/>
      <c r="E896" s="4"/>
      <c r="F896" s="4"/>
      <c r="G896" s="4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7"/>
      <c r="E897" s="4"/>
      <c r="F897" s="4"/>
      <c r="G897" s="4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7"/>
      <c r="E898" s="4"/>
      <c r="F898" s="4"/>
      <c r="G898" s="4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7"/>
      <c r="E899" s="4"/>
      <c r="F899" s="4"/>
      <c r="G899" s="4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7"/>
      <c r="E900" s="4"/>
      <c r="F900" s="4"/>
      <c r="G900" s="4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7"/>
      <c r="E901" s="4"/>
      <c r="F901" s="4"/>
      <c r="G901" s="4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7"/>
      <c r="E902" s="4"/>
      <c r="F902" s="4"/>
      <c r="G902" s="4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7"/>
      <c r="E903" s="4"/>
      <c r="F903" s="4"/>
      <c r="G903" s="4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7"/>
      <c r="E904" s="4"/>
      <c r="F904" s="4"/>
      <c r="G904" s="4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7"/>
      <c r="E905" s="4"/>
      <c r="F905" s="4"/>
      <c r="G905" s="4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7"/>
      <c r="E906" s="4"/>
      <c r="F906" s="4"/>
      <c r="G906" s="4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7"/>
      <c r="E907" s="4"/>
      <c r="F907" s="4"/>
      <c r="G907" s="4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7"/>
      <c r="E908" s="4"/>
      <c r="F908" s="4"/>
      <c r="G908" s="4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7"/>
      <c r="E909" s="4"/>
      <c r="F909" s="4"/>
      <c r="G909" s="4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7"/>
      <c r="E910" s="4"/>
      <c r="F910" s="4"/>
      <c r="G910" s="4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7"/>
      <c r="E911" s="4"/>
      <c r="F911" s="4"/>
      <c r="G911" s="4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7"/>
      <c r="E912" s="4"/>
      <c r="F912" s="4"/>
      <c r="G912" s="4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7"/>
      <c r="E913" s="4"/>
      <c r="F913" s="4"/>
      <c r="G913" s="4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7"/>
      <c r="E914" s="4"/>
      <c r="F914" s="4"/>
      <c r="G914" s="4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7"/>
      <c r="E915" s="4"/>
      <c r="F915" s="4"/>
      <c r="G915" s="4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7"/>
      <c r="E916" s="4"/>
      <c r="F916" s="4"/>
      <c r="G916" s="4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7"/>
      <c r="E917" s="4"/>
      <c r="F917" s="4"/>
      <c r="G917" s="4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7"/>
      <c r="E918" s="4"/>
      <c r="F918" s="4"/>
      <c r="G918" s="4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7"/>
      <c r="E919" s="4"/>
      <c r="F919" s="4"/>
      <c r="G919" s="4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7"/>
      <c r="E920" s="4"/>
      <c r="F920" s="4"/>
      <c r="G920" s="4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7"/>
      <c r="E921" s="4"/>
      <c r="F921" s="4"/>
      <c r="G921" s="4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7"/>
      <c r="E922" s="4"/>
      <c r="F922" s="4"/>
      <c r="G922" s="4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7"/>
      <c r="E923" s="4"/>
      <c r="F923" s="4"/>
      <c r="G923" s="4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7"/>
      <c r="E924" s="4"/>
      <c r="F924" s="4"/>
      <c r="G924" s="4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7"/>
      <c r="E925" s="4"/>
      <c r="F925" s="4"/>
      <c r="G925" s="4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7"/>
      <c r="E926" s="4"/>
      <c r="F926" s="4"/>
      <c r="G926" s="4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7"/>
      <c r="E927" s="4"/>
      <c r="F927" s="4"/>
      <c r="G927" s="4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7"/>
      <c r="E928" s="4"/>
      <c r="F928" s="4"/>
      <c r="G928" s="4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7"/>
      <c r="E929" s="4"/>
      <c r="F929" s="4"/>
      <c r="G929" s="4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7"/>
      <c r="E930" s="4"/>
      <c r="F930" s="4"/>
      <c r="G930" s="4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7"/>
      <c r="E931" s="4"/>
      <c r="F931" s="4"/>
      <c r="G931" s="4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7"/>
      <c r="E932" s="4"/>
      <c r="F932" s="4"/>
      <c r="G932" s="4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7"/>
      <c r="E933" s="4"/>
      <c r="F933" s="4"/>
      <c r="G933" s="4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7"/>
      <c r="E934" s="4"/>
      <c r="F934" s="4"/>
      <c r="G934" s="4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7"/>
      <c r="E935" s="4"/>
      <c r="F935" s="4"/>
      <c r="G935" s="4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7"/>
      <c r="E936" s="4"/>
      <c r="F936" s="4"/>
      <c r="G936" s="4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7"/>
      <c r="E937" s="4"/>
      <c r="F937" s="4"/>
      <c r="G937" s="4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7"/>
      <c r="E938" s="4"/>
      <c r="F938" s="4"/>
      <c r="G938" s="4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7"/>
      <c r="E939" s="4"/>
      <c r="F939" s="4"/>
      <c r="G939" s="4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7"/>
      <c r="E940" s="4"/>
      <c r="F940" s="4"/>
      <c r="G940" s="4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7"/>
      <c r="E941" s="4"/>
      <c r="F941" s="4"/>
      <c r="G941" s="4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7"/>
      <c r="E942" s="4"/>
      <c r="F942" s="4"/>
      <c r="G942" s="4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7"/>
      <c r="E943" s="4"/>
      <c r="F943" s="4"/>
      <c r="G943" s="4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7"/>
      <c r="E944" s="4"/>
      <c r="F944" s="4"/>
      <c r="G944" s="4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7"/>
      <c r="E945" s="4"/>
      <c r="F945" s="4"/>
      <c r="G945" s="4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7"/>
      <c r="E946" s="4"/>
      <c r="F946" s="4"/>
      <c r="G946" s="4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7"/>
      <c r="E947" s="4"/>
      <c r="F947" s="4"/>
      <c r="G947" s="4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7"/>
      <c r="E948" s="4"/>
      <c r="F948" s="4"/>
      <c r="G948" s="4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7"/>
      <c r="E949" s="4"/>
      <c r="F949" s="4"/>
      <c r="G949" s="4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7"/>
      <c r="E950" s="4"/>
      <c r="F950" s="4"/>
      <c r="G950" s="4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7"/>
      <c r="E951" s="4"/>
      <c r="F951" s="4"/>
      <c r="G951" s="4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7"/>
      <c r="E952" s="4"/>
      <c r="F952" s="4"/>
      <c r="G952" s="4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7"/>
      <c r="E953" s="4"/>
      <c r="F953" s="4"/>
      <c r="G953" s="4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7"/>
      <c r="E954" s="4"/>
      <c r="F954" s="4"/>
      <c r="G954" s="4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7"/>
      <c r="E955" s="4"/>
      <c r="F955" s="4"/>
      <c r="G955" s="4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7"/>
      <c r="E956" s="4"/>
      <c r="F956" s="4"/>
      <c r="G956" s="4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7"/>
      <c r="E957" s="4"/>
      <c r="F957" s="4"/>
      <c r="G957" s="4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7"/>
      <c r="E958" s="4"/>
      <c r="F958" s="4"/>
      <c r="G958" s="4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7"/>
      <c r="E959" s="4"/>
      <c r="F959" s="4"/>
      <c r="G959" s="4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7"/>
      <c r="E960" s="4"/>
      <c r="F960" s="4"/>
      <c r="G960" s="4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7"/>
      <c r="E961" s="4"/>
      <c r="F961" s="4"/>
      <c r="G961" s="4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7"/>
      <c r="E962" s="4"/>
      <c r="F962" s="4"/>
      <c r="G962" s="4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7"/>
      <c r="E963" s="4"/>
      <c r="F963" s="4"/>
      <c r="G963" s="4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7"/>
      <c r="E964" s="4"/>
      <c r="F964" s="4"/>
      <c r="G964" s="4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7"/>
      <c r="E965" s="4"/>
      <c r="F965" s="4"/>
      <c r="G965" s="4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7"/>
      <c r="E966" s="4"/>
      <c r="F966" s="4"/>
      <c r="G966" s="4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7"/>
      <c r="E967" s="4"/>
      <c r="F967" s="4"/>
      <c r="G967" s="4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7"/>
      <c r="E968" s="4"/>
      <c r="F968" s="4"/>
      <c r="G968" s="4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7"/>
      <c r="E969" s="4"/>
      <c r="F969" s="4"/>
      <c r="G969" s="4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7"/>
      <c r="E970" s="4"/>
      <c r="F970" s="4"/>
      <c r="G970" s="4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7"/>
      <c r="E971" s="4"/>
      <c r="F971" s="4"/>
      <c r="G971" s="4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7"/>
      <c r="E972" s="4"/>
      <c r="F972" s="4"/>
      <c r="G972" s="4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7"/>
      <c r="E973" s="4"/>
      <c r="F973" s="4"/>
      <c r="G973" s="4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7"/>
      <c r="E974" s="4"/>
      <c r="F974" s="4"/>
      <c r="G974" s="4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7"/>
      <c r="E975" s="4"/>
      <c r="F975" s="4"/>
      <c r="G975" s="4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7"/>
      <c r="E976" s="4"/>
      <c r="F976" s="4"/>
      <c r="G976" s="4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7"/>
      <c r="E977" s="4"/>
      <c r="F977" s="4"/>
      <c r="G977" s="4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7"/>
      <c r="E978" s="4"/>
      <c r="F978" s="4"/>
      <c r="G978" s="4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7"/>
      <c r="E979" s="4"/>
      <c r="F979" s="4"/>
      <c r="G979" s="4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7"/>
      <c r="E980" s="4"/>
      <c r="F980" s="4"/>
      <c r="G980" s="4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7"/>
      <c r="E981" s="4"/>
      <c r="F981" s="4"/>
      <c r="G981" s="4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7"/>
      <c r="E982" s="4"/>
      <c r="F982" s="4"/>
      <c r="G982" s="4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7"/>
      <c r="E983" s="4"/>
      <c r="F983" s="4"/>
      <c r="G983" s="4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7"/>
      <c r="E984" s="4"/>
      <c r="F984" s="4"/>
      <c r="G984" s="4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7"/>
      <c r="E985" s="4"/>
      <c r="F985" s="4"/>
      <c r="G985" s="4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7"/>
      <c r="E986" s="4"/>
      <c r="F986" s="4"/>
      <c r="G986" s="4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7"/>
      <c r="E987" s="4"/>
      <c r="F987" s="4"/>
      <c r="G987" s="4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7"/>
      <c r="E988" s="4"/>
      <c r="F988" s="4"/>
      <c r="G988" s="4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7"/>
      <c r="E989" s="4"/>
      <c r="F989" s="4"/>
      <c r="G989" s="4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7"/>
      <c r="E990" s="4"/>
      <c r="F990" s="4"/>
      <c r="G990" s="4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7"/>
      <c r="E991" s="4"/>
      <c r="F991" s="4"/>
      <c r="G991" s="4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7"/>
      <c r="E992" s="4"/>
      <c r="F992" s="4"/>
      <c r="G992" s="4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7"/>
      <c r="E993" s="4"/>
      <c r="F993" s="4"/>
      <c r="G993" s="4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7"/>
      <c r="E994" s="4"/>
      <c r="F994" s="4"/>
      <c r="G994" s="4"/>
      <c r="H994" s="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7"/>
      <c r="E995" s="4"/>
      <c r="F995" s="4"/>
      <c r="G995" s="4"/>
      <c r="H995" s="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7"/>
      <c r="E996" s="4"/>
      <c r="F996" s="4"/>
      <c r="G996" s="4"/>
      <c r="H996" s="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7"/>
      <c r="E997" s="4"/>
      <c r="F997" s="4"/>
      <c r="G997" s="4"/>
      <c r="H997" s="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7"/>
      <c r="E998" s="4"/>
      <c r="F998" s="4"/>
      <c r="G998" s="4"/>
      <c r="H998" s="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7"/>
      <c r="E999" s="4"/>
      <c r="F999" s="4"/>
      <c r="G999" s="4"/>
      <c r="H999" s="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7"/>
      <c r="E1000" s="4"/>
      <c r="F1000" s="4"/>
      <c r="G1000" s="4"/>
      <c r="H1000" s="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">
    <mergeCell ref="A1:H1"/>
    <mergeCell ref="B4:G4"/>
    <mergeCell ref="B19:G19"/>
    <mergeCell ref="B41:G41"/>
    <mergeCell ref="B52:F52"/>
    <mergeCell ref="B63:G63"/>
    <mergeCell ref="B74:G74"/>
    <mergeCell ref="B84:G84"/>
    <mergeCell ref="B92:G92"/>
    <mergeCell ref="B100:G100"/>
    <mergeCell ref="B108:G108"/>
    <mergeCell ref="B116:G116"/>
    <mergeCell ref="B124:G124"/>
    <mergeCell ref="B136:G136"/>
    <mergeCell ref="B202:G202"/>
    <mergeCell ref="B210:G210"/>
    <mergeCell ref="B218:G218"/>
    <mergeCell ref="B226:G226"/>
    <mergeCell ref="B234:G234"/>
    <mergeCell ref="B242:G242"/>
    <mergeCell ref="B250:G250"/>
    <mergeCell ref="B259:G259"/>
    <mergeCell ref="B144:G144"/>
    <mergeCell ref="B152:G152"/>
    <mergeCell ref="B160:G160"/>
    <mergeCell ref="B168:G168"/>
    <mergeCell ref="B177:G177"/>
    <mergeCell ref="B186:G186"/>
    <mergeCell ref="B194:G19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49.63"/>
    <col customWidth="1" min="3" max="4" width="19.75"/>
    <col customWidth="1" min="5" max="6" width="8.88"/>
    <col customWidth="1" min="7" max="26" width="8.63"/>
  </cols>
  <sheetData>
    <row r="1" ht="35.25" customHeight="1">
      <c r="A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4"/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9" t="s">
        <v>5</v>
      </c>
      <c r="B3" s="9" t="s">
        <v>11</v>
      </c>
      <c r="C3" s="11" t="s">
        <v>13</v>
      </c>
      <c r="D3" s="11" t="s">
        <v>15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8">
        <v>1.0</v>
      </c>
      <c r="B4" s="20" t="s">
        <v>21</v>
      </c>
      <c r="C4" s="21">
        <v>132000.0</v>
      </c>
      <c r="D4" s="2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8">
        <v>2.0</v>
      </c>
      <c r="B5" s="20" t="s">
        <v>27</v>
      </c>
      <c r="C5" s="21">
        <v>47000.0</v>
      </c>
      <c r="D5" s="2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8">
        <v>3.0</v>
      </c>
      <c r="B6" s="20" t="s">
        <v>31</v>
      </c>
      <c r="C6" s="21">
        <v>260000.0</v>
      </c>
      <c r="D6" s="2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8">
        <v>4.0</v>
      </c>
      <c r="B7" s="20" t="s">
        <v>33</v>
      </c>
      <c r="C7" s="21">
        <v>4000.0</v>
      </c>
      <c r="D7" s="2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8">
        <v>5.0</v>
      </c>
      <c r="B8" s="20" t="s">
        <v>38</v>
      </c>
      <c r="C8" s="21">
        <v>4500.0</v>
      </c>
      <c r="D8" s="2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8">
        <v>6.0</v>
      </c>
      <c r="B9" s="20" t="s">
        <v>42</v>
      </c>
      <c r="C9" s="21">
        <v>15000.0</v>
      </c>
      <c r="D9" s="2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8">
        <v>7.0</v>
      </c>
      <c r="B10" s="20" t="s">
        <v>46</v>
      </c>
      <c r="C10" s="21">
        <v>10000.0</v>
      </c>
      <c r="D10" s="2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8">
        <v>8.0</v>
      </c>
      <c r="B11" s="20" t="s">
        <v>51</v>
      </c>
      <c r="C11" s="21">
        <v>50000.0</v>
      </c>
      <c r="D11" s="2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8">
        <v>9.0</v>
      </c>
      <c r="B12" s="20" t="s">
        <v>54</v>
      </c>
      <c r="C12" s="21">
        <v>22000.0</v>
      </c>
      <c r="D12" s="2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8">
        <v>10.0</v>
      </c>
      <c r="B13" s="20" t="s">
        <v>57</v>
      </c>
      <c r="C13" s="21">
        <v>6000.0</v>
      </c>
      <c r="D13" s="2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8">
        <v>11.0</v>
      </c>
      <c r="B14" s="20" t="s">
        <v>65</v>
      </c>
      <c r="C14" s="21">
        <v>18000.0</v>
      </c>
      <c r="D14" s="2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8">
        <v>12.0</v>
      </c>
      <c r="B15" s="20" t="s">
        <v>68</v>
      </c>
      <c r="C15" s="21">
        <v>55000.0</v>
      </c>
      <c r="D15" s="2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8">
        <v>13.0</v>
      </c>
      <c r="B16" s="20" t="s">
        <v>80</v>
      </c>
      <c r="C16" s="21">
        <v>5500.0</v>
      </c>
      <c r="D16" s="2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8">
        <v>14.0</v>
      </c>
      <c r="B17" s="20" t="s">
        <v>84</v>
      </c>
      <c r="C17" s="21">
        <v>12000.0</v>
      </c>
      <c r="D17" s="2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8">
        <v>15.0</v>
      </c>
      <c r="B18" s="20" t="s">
        <v>88</v>
      </c>
      <c r="C18" s="21">
        <v>6000.0</v>
      </c>
      <c r="D18" s="2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8">
        <v>16.0</v>
      </c>
      <c r="B19" s="20" t="s">
        <v>92</v>
      </c>
      <c r="C19" s="21">
        <v>4000.0</v>
      </c>
      <c r="D19" s="2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8">
        <v>17.0</v>
      </c>
      <c r="B20" s="20" t="s">
        <v>94</v>
      </c>
      <c r="C20" s="21">
        <v>8500.0</v>
      </c>
      <c r="D20" s="4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8">
        <v>18.0</v>
      </c>
      <c r="B21" s="20" t="s">
        <v>99</v>
      </c>
      <c r="C21" s="21">
        <v>2500.0</v>
      </c>
      <c r="D21" s="2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8">
        <v>19.0</v>
      </c>
      <c r="B22" s="20" t="s">
        <v>103</v>
      </c>
      <c r="C22" s="21">
        <v>85000.0</v>
      </c>
      <c r="D22" s="2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8">
        <v>20.0</v>
      </c>
      <c r="B23" s="20" t="s">
        <v>105</v>
      </c>
      <c r="C23" s="21">
        <v>5000.0</v>
      </c>
      <c r="D23" s="2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8">
        <v>21.0</v>
      </c>
      <c r="B24" s="20" t="s">
        <v>108</v>
      </c>
      <c r="C24" s="21">
        <v>200000.0</v>
      </c>
      <c r="D24" s="2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8">
        <v>22.0</v>
      </c>
      <c r="B25" s="20" t="s">
        <v>112</v>
      </c>
      <c r="C25" s="21">
        <v>90000.0</v>
      </c>
      <c r="D25" s="2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8">
        <v>23.0</v>
      </c>
      <c r="B26" s="20" t="s">
        <v>116</v>
      </c>
      <c r="C26" s="21">
        <v>40000.0</v>
      </c>
      <c r="D26" s="2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8">
        <v>24.0</v>
      </c>
      <c r="B27" s="20" t="s">
        <v>119</v>
      </c>
      <c r="C27" s="21"/>
      <c r="D27" s="21">
        <v>21000.0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8">
        <v>25.0</v>
      </c>
      <c r="B28" s="20" t="s">
        <v>123</v>
      </c>
      <c r="C28" s="21"/>
      <c r="D28" s="21">
        <v>355000.0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8">
        <v>26.0</v>
      </c>
      <c r="B29" s="20" t="s">
        <v>126</v>
      </c>
      <c r="C29" s="21"/>
      <c r="D29" s="21">
        <v>12000.0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8">
        <v>27.0</v>
      </c>
      <c r="B30" s="20" t="s">
        <v>128</v>
      </c>
      <c r="C30" s="21"/>
      <c r="D30" s="21">
        <v>7000.0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8">
        <v>28.0</v>
      </c>
      <c r="B31" s="20" t="s">
        <v>132</v>
      </c>
      <c r="C31" s="21"/>
      <c r="D31" s="21">
        <v>125000.0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8">
        <v>29.0</v>
      </c>
      <c r="B32" s="20" t="s">
        <v>137</v>
      </c>
      <c r="C32" s="21"/>
      <c r="D32" s="21">
        <v>9000.0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8">
        <v>30.0</v>
      </c>
      <c r="B33" s="20" t="s">
        <v>141</v>
      </c>
      <c r="C33" s="21"/>
      <c r="D33" s="21">
        <v>450000.0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8">
        <v>31.0</v>
      </c>
      <c r="B34" s="20" t="s">
        <v>147</v>
      </c>
      <c r="C34" s="21"/>
      <c r="D34" s="21">
        <v>3000.0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8">
        <v>32.0</v>
      </c>
      <c r="B35" s="20" t="s">
        <v>149</v>
      </c>
      <c r="C35" s="21"/>
      <c r="D35" s="21">
        <v>100000.0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6" t="s">
        <v>152</v>
      </c>
      <c r="B36" s="47"/>
      <c r="C36" s="48">
        <f t="shared" ref="C36:D36" si="1">SUM(C4:C35)</f>
        <v>1082000</v>
      </c>
      <c r="D36" s="48">
        <f t="shared" si="1"/>
        <v>1082000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7"/>
      <c r="D69" s="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7"/>
      <c r="D70" s="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7"/>
      <c r="D71" s="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7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7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7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7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7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7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7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7"/>
      <c r="D79" s="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7"/>
      <c r="D80" s="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7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7"/>
      <c r="D82" s="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7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7"/>
      <c r="D84" s="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7"/>
      <c r="D85" s="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7"/>
      <c r="D86" s="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7"/>
      <c r="D87" s="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7"/>
      <c r="D88" s="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7"/>
      <c r="D89" s="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7"/>
      <c r="D90" s="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7"/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7"/>
      <c r="D92" s="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7"/>
      <c r="D93" s="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7"/>
      <c r="D94" s="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7"/>
      <c r="D95" s="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7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7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7"/>
      <c r="D98" s="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7"/>
      <c r="D99" s="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7"/>
      <c r="D100" s="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7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7"/>
      <c r="D102" s="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7"/>
      <c r="D103" s="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7"/>
      <c r="D104" s="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7"/>
      <c r="D105" s="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7"/>
      <c r="D106" s="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7"/>
      <c r="D107" s="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7"/>
      <c r="D108" s="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7"/>
      <c r="D109" s="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7"/>
      <c r="D110" s="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7"/>
      <c r="D111" s="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7"/>
      <c r="D112" s="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7"/>
      <c r="D113" s="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7"/>
      <c r="D114" s="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7"/>
      <c r="D115" s="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7"/>
      <c r="D116" s="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7"/>
      <c r="D117" s="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7"/>
      <c r="D118" s="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7"/>
      <c r="D119" s="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7"/>
      <c r="D120" s="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7"/>
      <c r="D121" s="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7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7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7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7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7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7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7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7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7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7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7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7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7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7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7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7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7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7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7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7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7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7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7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7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7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7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7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7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7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7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7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7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7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7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7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7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7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7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7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7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7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7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7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7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7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7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7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7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7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7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7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7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7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7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7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7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7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7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7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7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7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7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7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7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7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7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7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7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7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7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7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7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7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7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7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7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7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7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7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7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7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7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7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7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7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7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7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7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7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7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7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7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7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7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7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7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7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7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7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7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7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7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7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7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7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7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7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7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7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7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7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7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7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7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7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7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7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7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7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7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7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7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7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7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7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7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7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7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7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7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7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7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7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7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7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7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7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7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7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7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7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7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7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7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7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7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7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7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7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7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7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7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7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7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7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7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7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7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7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7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7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7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7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7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7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7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7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7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7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7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7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7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7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7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7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7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7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7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7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7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7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7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7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7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7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7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7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7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7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7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7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7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7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7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7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7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7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7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7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7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7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7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7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7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7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7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7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7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7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7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7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7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7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7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7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7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7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7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7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7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7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7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7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7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7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7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7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7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7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7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7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7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7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7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7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7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7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7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7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7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7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7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7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7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7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7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7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7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7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7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7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7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7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7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7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7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7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7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7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7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7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7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7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7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7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7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7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7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7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7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7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7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7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7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7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7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7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7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7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7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7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7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7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7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7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7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7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7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7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7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7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7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7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7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7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7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7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7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7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7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7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7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7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7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7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7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7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7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7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7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7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7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7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7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7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7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7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7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7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7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7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7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7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7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7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7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7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7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7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7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7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7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7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7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7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7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7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7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7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7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7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7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7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7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7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7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7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7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7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7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7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7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7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7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7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7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7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7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7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7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7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7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7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7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7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7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7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7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7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7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7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7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7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7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7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7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7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7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7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7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7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7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7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7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7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7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7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7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7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7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7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7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7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7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7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7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7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7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7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7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7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7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7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7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7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7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7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7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7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7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7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7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7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7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7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7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7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7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7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7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7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7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7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7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7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7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7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7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7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7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7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7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7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7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7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7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7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7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7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7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7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7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7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7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7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7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7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7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7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7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7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7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7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7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7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7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7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7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7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7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7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7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7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7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7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7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7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7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7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7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7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7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7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7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7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7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7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7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7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7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7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7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7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7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7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7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7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7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7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7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7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7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7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7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7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7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7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7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7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7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7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7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7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7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7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7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7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7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7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7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7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7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7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7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7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7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7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7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7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7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7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7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7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7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7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7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7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7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7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7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7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7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7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7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7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7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7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7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7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7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7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7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7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7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7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7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7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7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7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7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7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7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7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7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7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7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7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7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7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7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7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7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7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7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7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7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7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7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7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7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7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7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7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7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7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7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7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7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7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7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7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7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7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7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7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7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7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7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7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7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7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7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7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7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7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7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7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7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7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7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7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7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7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7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7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7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7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7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7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7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7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7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7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7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7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7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7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7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7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7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7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7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7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7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7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7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7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7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7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7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7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7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7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7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7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7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7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7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7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7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7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7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7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7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7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7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7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7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7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7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7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7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7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7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7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7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7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7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7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7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7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7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7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7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7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7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7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7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7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7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7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7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7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7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7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7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7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7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7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7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7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7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7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7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7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7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7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7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7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7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7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7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7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7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7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7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7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7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7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7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7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7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7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7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7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7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7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7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7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7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7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7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7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7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7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7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7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7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7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7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7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7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7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7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7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7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7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7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7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7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7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7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7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7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7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7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7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7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7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7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7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7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7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7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7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7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7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7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7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7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7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7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7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7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7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7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7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7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7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7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7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7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7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7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7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7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7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7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7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7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7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7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7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7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7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7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7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7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7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7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7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7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7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7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7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7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7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7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7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7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7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7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7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7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7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7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7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7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7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7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7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7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7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7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7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7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7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7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7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7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7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7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7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7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7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7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7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7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7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7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7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7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7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7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7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7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7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7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7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7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7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7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7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7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7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7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7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7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7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7"/>
      <c r="D961" s="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7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7"/>
      <c r="D963" s="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7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7"/>
      <c r="D965" s="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7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7"/>
      <c r="D967" s="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7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7"/>
      <c r="D969" s="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7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7"/>
      <c r="D971" s="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7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7"/>
      <c r="D973" s="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7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7"/>
      <c r="D975" s="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7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7"/>
      <c r="D977" s="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7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7"/>
      <c r="D979" s="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7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7"/>
      <c r="D981" s="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7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7"/>
      <c r="D983" s="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7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7"/>
      <c r="D985" s="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7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7"/>
      <c r="D987" s="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7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7"/>
      <c r="D989" s="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7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7"/>
      <c r="D991" s="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7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7"/>
      <c r="D993" s="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7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7"/>
      <c r="D995" s="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7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7"/>
      <c r="D997" s="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7"/>
      <c r="D998" s="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7"/>
      <c r="D999" s="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7"/>
      <c r="D1000" s="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D1"/>
    <mergeCell ref="A36:B3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3" width="18.75"/>
    <col customWidth="1" min="4" max="4" width="34.63"/>
    <col customWidth="1" min="5" max="6" width="18.75"/>
    <col customWidth="1" min="7" max="26" width="8.63"/>
  </cols>
  <sheetData>
    <row r="1" ht="13.5" customHeight="1">
      <c r="A1" s="3" t="s">
        <v>268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0" t="s">
        <v>9</v>
      </c>
      <c r="B2" s="50"/>
      <c r="C2" s="50"/>
      <c r="D2" s="50"/>
      <c r="E2" s="50"/>
      <c r="F2" s="51" t="s">
        <v>17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5" t="s">
        <v>11</v>
      </c>
      <c r="B3" s="56" t="s">
        <v>24</v>
      </c>
      <c r="C3" s="58" t="s">
        <v>24</v>
      </c>
      <c r="D3" s="56" t="s">
        <v>11</v>
      </c>
      <c r="E3" s="58" t="s">
        <v>24</v>
      </c>
      <c r="F3" s="56" t="s">
        <v>24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0" t="s">
        <v>271</v>
      </c>
      <c r="B4" s="62"/>
      <c r="C4" s="65">
        <v>90000.0</v>
      </c>
      <c r="D4" s="62" t="s">
        <v>273</v>
      </c>
      <c r="E4" s="65">
        <v>355000.0</v>
      </c>
      <c r="F4" s="6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0" t="s">
        <v>275</v>
      </c>
      <c r="B5" s="68">
        <v>260000.0</v>
      </c>
      <c r="C5" s="69"/>
      <c r="D5" s="62" t="s">
        <v>277</v>
      </c>
      <c r="E5" s="71">
        <v>10000.0</v>
      </c>
      <c r="F5" s="68">
        <v>345000.0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0" t="s">
        <v>280</v>
      </c>
      <c r="B6" s="71">
        <v>12000.0</v>
      </c>
      <c r="C6" s="65">
        <v>248000.0</v>
      </c>
      <c r="D6" s="62" t="s">
        <v>281</v>
      </c>
      <c r="E6" s="69"/>
      <c r="F6" s="68">
        <v>110000.0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73" t="s">
        <v>282</v>
      </c>
      <c r="B7" s="62"/>
      <c r="C7" s="69"/>
      <c r="D7" s="62"/>
      <c r="E7" s="69"/>
      <c r="F7" s="6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0" t="s">
        <v>283</v>
      </c>
      <c r="B8" s="62"/>
      <c r="C8" s="65">
        <v>15000.0</v>
      </c>
      <c r="D8" s="62"/>
      <c r="E8" s="69"/>
      <c r="F8" s="6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0" t="s">
        <v>286</v>
      </c>
      <c r="B9" s="62"/>
      <c r="C9" s="65">
        <v>4500.0</v>
      </c>
      <c r="D9" s="62"/>
      <c r="E9" s="69"/>
      <c r="F9" s="6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0" t="s">
        <v>287</v>
      </c>
      <c r="B10" s="62"/>
      <c r="C10" s="65">
        <v>97500.0</v>
      </c>
      <c r="D10" s="62"/>
      <c r="E10" s="69"/>
      <c r="F10" s="6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76"/>
      <c r="B11" s="78"/>
      <c r="C11" s="79">
        <f>SUM(C4:C10)</f>
        <v>455000</v>
      </c>
      <c r="D11" s="78"/>
      <c r="E11" s="81"/>
      <c r="F11" s="79">
        <f>SUM(F5:F10)</f>
        <v>455000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2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25"/>
    <col customWidth="1" min="2" max="3" width="20.75"/>
    <col customWidth="1" min="4" max="4" width="35.25"/>
    <col customWidth="1" min="5" max="6" width="20.75"/>
    <col customWidth="1" min="7" max="7" width="8.88"/>
    <col customWidth="1" min="8" max="8" width="22.25"/>
    <col customWidth="1" min="9" max="9" width="12.13"/>
    <col customWidth="1" min="10" max="26" width="8.63"/>
  </cols>
  <sheetData>
    <row r="1" ht="13.5" customHeight="1">
      <c r="A1" s="3" t="s">
        <v>267</v>
      </c>
      <c r="G1" s="4"/>
      <c r="H1" s="4"/>
      <c r="I1" s="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0" t="s">
        <v>9</v>
      </c>
      <c r="B2" s="50"/>
      <c r="C2" s="50"/>
      <c r="D2" s="50"/>
      <c r="E2" s="50"/>
      <c r="F2" s="51" t="s">
        <v>17</v>
      </c>
      <c r="G2" s="4"/>
      <c r="H2" s="4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2" t="s">
        <v>11</v>
      </c>
      <c r="B3" s="53" t="s">
        <v>24</v>
      </c>
      <c r="C3" s="54" t="s">
        <v>24</v>
      </c>
      <c r="D3" s="53" t="s">
        <v>11</v>
      </c>
      <c r="E3" s="54" t="s">
        <v>24</v>
      </c>
      <c r="F3" s="53" t="s">
        <v>24</v>
      </c>
      <c r="G3" s="4"/>
      <c r="H3" s="57" t="s">
        <v>269</v>
      </c>
      <c r="I3" s="4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59" t="s">
        <v>270</v>
      </c>
      <c r="B4" s="61">
        <v>22000.0</v>
      </c>
      <c r="C4" s="63"/>
      <c r="D4" s="64" t="s">
        <v>272</v>
      </c>
      <c r="E4" s="63"/>
      <c r="F4" s="61">
        <v>97500.0</v>
      </c>
      <c r="G4" s="4"/>
      <c r="H4" s="66" t="s">
        <v>274</v>
      </c>
      <c r="I4" s="67">
        <v>200000.0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59" t="s">
        <v>276</v>
      </c>
      <c r="B5" s="70">
        <v>3000.0</v>
      </c>
      <c r="C5" s="72">
        <v>25000.0</v>
      </c>
      <c r="D5" s="64" t="s">
        <v>278</v>
      </c>
      <c r="E5" s="63"/>
      <c r="F5" s="61">
        <v>7000.0</v>
      </c>
      <c r="G5" s="4"/>
      <c r="H5" s="66" t="s">
        <v>279</v>
      </c>
      <c r="I5" s="74">
        <f>I4*10%*1/12</f>
        <v>1666.666667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59" t="s">
        <v>284</v>
      </c>
      <c r="B6" s="64"/>
      <c r="C6" s="72">
        <v>6000.0</v>
      </c>
      <c r="D6" s="64" t="s">
        <v>285</v>
      </c>
      <c r="E6" s="63"/>
      <c r="F6" s="61">
        <v>9000.0</v>
      </c>
      <c r="G6" s="4"/>
      <c r="H6" s="66"/>
      <c r="I6" s="75">
        <f>I4-I5</f>
        <v>198333.3333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59" t="s">
        <v>288</v>
      </c>
      <c r="B7" s="64"/>
      <c r="C7" s="72">
        <v>18000.0</v>
      </c>
      <c r="D7" s="64" t="s">
        <v>289</v>
      </c>
      <c r="E7" s="63"/>
      <c r="F7" s="61">
        <v>3000.0</v>
      </c>
      <c r="G7" s="4"/>
      <c r="H7" s="77" t="s">
        <v>290</v>
      </c>
      <c r="I7" s="67">
        <v>40000.0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59" t="s">
        <v>291</v>
      </c>
      <c r="B8" s="64"/>
      <c r="C8" s="72">
        <v>5500.0</v>
      </c>
      <c r="D8" s="64"/>
      <c r="E8" s="63"/>
      <c r="F8" s="64"/>
      <c r="G8" s="4"/>
      <c r="H8" s="66" t="s">
        <v>279</v>
      </c>
      <c r="I8" s="74">
        <f>I7*10%*1/12</f>
        <v>333.3333333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59" t="s">
        <v>292</v>
      </c>
      <c r="B9" s="61">
        <v>6000.0</v>
      </c>
      <c r="C9" s="63"/>
      <c r="D9" s="64"/>
      <c r="E9" s="63"/>
      <c r="F9" s="64"/>
      <c r="G9" s="4"/>
      <c r="H9" s="80"/>
      <c r="I9" s="75">
        <f>I7-I8</f>
        <v>39666.66667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59" t="s">
        <v>293</v>
      </c>
      <c r="B10" s="70">
        <v>1500.0</v>
      </c>
      <c r="C10" s="72">
        <v>4500.0</v>
      </c>
      <c r="D10" s="64"/>
      <c r="E10" s="63"/>
      <c r="F10" s="64"/>
      <c r="G10" s="4"/>
      <c r="H10" s="66" t="s">
        <v>294</v>
      </c>
      <c r="I10" s="82">
        <v>50000.0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59" t="s">
        <v>295</v>
      </c>
      <c r="B11" s="64"/>
      <c r="C11" s="72">
        <v>4000.0</v>
      </c>
      <c r="D11" s="64"/>
      <c r="E11" s="63"/>
      <c r="F11" s="64"/>
      <c r="G11" s="4"/>
      <c r="H11" s="66" t="s">
        <v>279</v>
      </c>
      <c r="I11" s="74">
        <f>I10*10%*1/12</f>
        <v>416.6666667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59" t="s">
        <v>296</v>
      </c>
      <c r="B12" s="64"/>
      <c r="C12" s="72">
        <v>8500.0</v>
      </c>
      <c r="D12" s="64"/>
      <c r="E12" s="63"/>
      <c r="F12" s="64"/>
      <c r="G12" s="4"/>
      <c r="H12" s="66"/>
      <c r="I12" s="75">
        <f>I10-I11</f>
        <v>49583.33333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59" t="s">
        <v>297</v>
      </c>
      <c r="B13" s="64"/>
      <c r="C13" s="72">
        <v>2500.0</v>
      </c>
      <c r="D13" s="64"/>
      <c r="E13" s="63"/>
      <c r="F13" s="64"/>
      <c r="G13" s="4"/>
      <c r="H13" s="77" t="s">
        <v>298</v>
      </c>
      <c r="I13" s="67">
        <v>85000.0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59" t="s">
        <v>299</v>
      </c>
      <c r="B14" s="61">
        <v>5000.0</v>
      </c>
      <c r="C14" s="63"/>
      <c r="D14" s="64"/>
      <c r="E14" s="63"/>
      <c r="F14" s="64"/>
      <c r="G14" s="4"/>
      <c r="H14" s="66" t="s">
        <v>300</v>
      </c>
      <c r="I14" s="74">
        <f>I13*5%*1/12</f>
        <v>354.1666667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59" t="s">
        <v>301</v>
      </c>
      <c r="B15" s="70">
        <v>2000.0</v>
      </c>
      <c r="C15" s="72">
        <v>7000.0</v>
      </c>
      <c r="D15" s="64"/>
      <c r="E15" s="63"/>
      <c r="F15" s="64"/>
      <c r="G15" s="4"/>
      <c r="H15" s="80"/>
      <c r="I15" s="75">
        <f>I13-I14</f>
        <v>84645.83333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59" t="s">
        <v>302</v>
      </c>
      <c r="B16" s="64"/>
      <c r="C16" s="72">
        <v>1667.0</v>
      </c>
      <c r="D16" s="64"/>
      <c r="E16" s="63"/>
      <c r="F16" s="64"/>
      <c r="G16" s="4"/>
      <c r="H16" s="4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59" t="s">
        <v>303</v>
      </c>
      <c r="B17" s="64"/>
      <c r="C17" s="63">
        <v>354.0</v>
      </c>
      <c r="D17" s="64"/>
      <c r="E17" s="63"/>
      <c r="F17" s="64"/>
      <c r="G17" s="4"/>
      <c r="H17" s="4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59" t="s">
        <v>304</v>
      </c>
      <c r="B18" s="64"/>
      <c r="C18" s="72">
        <v>417.0</v>
      </c>
      <c r="D18" s="64"/>
      <c r="E18" s="63"/>
      <c r="F18" s="64"/>
      <c r="G18" s="4"/>
      <c r="H18" s="4"/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59" t="s">
        <v>305</v>
      </c>
      <c r="B19" s="64"/>
      <c r="C19" s="63">
        <v>333.0</v>
      </c>
      <c r="D19" s="64"/>
      <c r="E19" s="63"/>
      <c r="F19" s="64"/>
      <c r="G19" s="4"/>
      <c r="H19" s="4"/>
      <c r="I19" s="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9" t="s">
        <v>306</v>
      </c>
      <c r="B20" s="64"/>
      <c r="C20" s="72">
        <v>32729.0</v>
      </c>
      <c r="D20" s="64"/>
      <c r="E20" s="63"/>
      <c r="F20" s="64"/>
      <c r="G20" s="4"/>
      <c r="H20" s="4"/>
      <c r="I20" s="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83"/>
      <c r="B21" s="84"/>
      <c r="C21" s="85">
        <f>SUM(C4:C20)</f>
        <v>116500</v>
      </c>
      <c r="D21" s="84"/>
      <c r="E21" s="86"/>
      <c r="F21" s="85">
        <f>SUM(F4:F20)</f>
        <v>116500</v>
      </c>
      <c r="G21" s="4"/>
      <c r="H21" s="4"/>
      <c r="I21" s="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H3:I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3" width="19.63"/>
    <col customWidth="1" min="4" max="4" width="32.5"/>
    <col customWidth="1" min="5" max="6" width="19.63"/>
    <col customWidth="1" min="7" max="9" width="8.88"/>
    <col customWidth="1" min="10" max="26" width="8.63"/>
  </cols>
  <sheetData>
    <row r="1" ht="13.5" customHeight="1">
      <c r="A1" s="3" t="s">
        <v>307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0" t="s">
        <v>9</v>
      </c>
      <c r="B2" s="50"/>
      <c r="C2" s="50"/>
      <c r="D2" s="50"/>
      <c r="E2" s="50"/>
      <c r="F2" s="51" t="s">
        <v>17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7" t="s">
        <v>308</v>
      </c>
      <c r="B3" s="9" t="s">
        <v>24</v>
      </c>
      <c r="C3" s="88" t="s">
        <v>24</v>
      </c>
      <c r="D3" s="9" t="s">
        <v>309</v>
      </c>
      <c r="E3" s="88" t="s">
        <v>24</v>
      </c>
      <c r="F3" s="9" t="s">
        <v>24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89" t="s">
        <v>61</v>
      </c>
      <c r="B4" s="90">
        <v>450000.0</v>
      </c>
      <c r="C4" s="91"/>
      <c r="D4" s="92" t="s">
        <v>310</v>
      </c>
      <c r="E4" s="91"/>
      <c r="F4" s="9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9" t="s">
        <v>311</v>
      </c>
      <c r="B5" s="94">
        <v>32729.0</v>
      </c>
      <c r="C5" s="91"/>
      <c r="D5" s="93" t="s">
        <v>312</v>
      </c>
      <c r="E5" s="95">
        <v>132000.0</v>
      </c>
      <c r="F5" s="9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9"/>
      <c r="B6" s="90">
        <v>482729.0</v>
      </c>
      <c r="C6" s="91"/>
      <c r="D6" s="93" t="s">
        <v>32</v>
      </c>
      <c r="E6" s="94">
        <v>47000.0</v>
      </c>
      <c r="F6" s="90">
        <v>179000.0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89" t="s">
        <v>313</v>
      </c>
      <c r="B7" s="94">
        <v>12000.0</v>
      </c>
      <c r="C7" s="95">
        <v>470729.0</v>
      </c>
      <c r="D7" s="93" t="s">
        <v>314</v>
      </c>
      <c r="E7" s="91"/>
      <c r="F7" s="90">
        <v>4000.0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96" t="s">
        <v>315</v>
      </c>
      <c r="B8" s="93"/>
      <c r="C8" s="91"/>
      <c r="D8" s="93" t="s">
        <v>316</v>
      </c>
      <c r="E8" s="91"/>
      <c r="F8" s="90">
        <v>55000.0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89" t="s">
        <v>64</v>
      </c>
      <c r="B9" s="93"/>
      <c r="C9" s="95">
        <v>100000.0</v>
      </c>
      <c r="D9" s="93" t="s">
        <v>317</v>
      </c>
      <c r="E9" s="91"/>
      <c r="F9" s="90">
        <v>1500.0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96" t="s">
        <v>318</v>
      </c>
      <c r="B10" s="93"/>
      <c r="C10" s="91"/>
      <c r="D10" s="93" t="s">
        <v>319</v>
      </c>
      <c r="E10" s="91"/>
      <c r="F10" s="90">
        <v>110000.0</v>
      </c>
      <c r="G10" s="4"/>
      <c r="H10" s="4"/>
      <c r="I10" s="2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89" t="s">
        <v>320</v>
      </c>
      <c r="B11" s="93"/>
      <c r="C11" s="95">
        <v>21000.0</v>
      </c>
      <c r="D11" s="92" t="s">
        <v>321</v>
      </c>
      <c r="E11" s="91"/>
      <c r="F11" s="9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89" t="s">
        <v>322</v>
      </c>
      <c r="B12" s="93"/>
      <c r="C12" s="95">
        <v>125000.0</v>
      </c>
      <c r="D12" s="93" t="s">
        <v>45</v>
      </c>
      <c r="E12" s="95">
        <v>40000.0</v>
      </c>
      <c r="F12" s="93"/>
      <c r="G12" s="4"/>
      <c r="H12" s="4"/>
      <c r="I12" s="2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89" t="s">
        <v>323</v>
      </c>
      <c r="B13" s="93"/>
      <c r="C13" s="95">
        <v>3000.0</v>
      </c>
      <c r="D13" s="93" t="s">
        <v>324</v>
      </c>
      <c r="E13" s="97">
        <v>333.0</v>
      </c>
      <c r="F13" s="90">
        <v>39667.0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89" t="s">
        <v>325</v>
      </c>
      <c r="B14" s="93"/>
      <c r="C14" s="95">
        <v>2000.0</v>
      </c>
      <c r="D14" s="93" t="s">
        <v>39</v>
      </c>
      <c r="E14" s="95">
        <v>85000.0</v>
      </c>
      <c r="F14" s="9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89"/>
      <c r="B15" s="93"/>
      <c r="C15" s="91"/>
      <c r="D15" s="93" t="s">
        <v>326</v>
      </c>
      <c r="E15" s="97">
        <v>354.0</v>
      </c>
      <c r="F15" s="90">
        <v>84646.0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89"/>
      <c r="B16" s="93"/>
      <c r="C16" s="91"/>
      <c r="D16" s="93" t="s">
        <v>41</v>
      </c>
      <c r="E16" s="95">
        <v>200000.0</v>
      </c>
      <c r="F16" s="9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89"/>
      <c r="B17" s="93"/>
      <c r="C17" s="91"/>
      <c r="D17" s="93" t="s">
        <v>327</v>
      </c>
      <c r="E17" s="94">
        <v>1667.0</v>
      </c>
      <c r="F17" s="90">
        <v>198333.0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89"/>
      <c r="B18" s="93"/>
      <c r="C18" s="91"/>
      <c r="D18" s="93" t="s">
        <v>328</v>
      </c>
      <c r="E18" s="95">
        <v>50000.0</v>
      </c>
      <c r="F18" s="9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89"/>
      <c r="B19" s="93"/>
      <c r="C19" s="91"/>
      <c r="D19" s="93" t="s">
        <v>329</v>
      </c>
      <c r="E19" s="94">
        <v>417.0</v>
      </c>
      <c r="F19" s="90">
        <v>49583.0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89"/>
      <c r="B20" s="93"/>
      <c r="C20" s="91"/>
      <c r="D20" s="93"/>
      <c r="E20" s="91"/>
      <c r="F20" s="93"/>
      <c r="G20" s="4"/>
      <c r="H20" s="2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98"/>
      <c r="B21" s="99"/>
      <c r="C21" s="100">
        <f>SUM(C4:C20)</f>
        <v>721729</v>
      </c>
      <c r="D21" s="99"/>
      <c r="E21" s="101"/>
      <c r="F21" s="100">
        <f>SUM(F4:F20)</f>
        <v>721729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5.88"/>
    <col customWidth="1" min="3" max="3" width="97.25"/>
    <col customWidth="1" min="4" max="4" width="5.38"/>
    <col customWidth="1" min="5" max="5" width="99.25"/>
    <col customWidth="1" min="6" max="6" width="66.63"/>
    <col customWidth="1" min="7" max="7" width="13.25"/>
    <col customWidth="1" min="8" max="26" width="8.63"/>
  </cols>
  <sheetData>
    <row r="1" ht="13.5" customHeight="1">
      <c r="A1" s="102" t="s">
        <v>330</v>
      </c>
      <c r="B1" s="47"/>
      <c r="C1" s="103" t="s">
        <v>331</v>
      </c>
      <c r="D1" s="4"/>
      <c r="E1" s="104" t="s">
        <v>332</v>
      </c>
      <c r="F1" s="105"/>
      <c r="G1" s="10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07" t="s">
        <v>333</v>
      </c>
      <c r="B2" s="108"/>
      <c r="C2" s="109"/>
      <c r="D2" s="4"/>
      <c r="E2" s="110"/>
      <c r="F2" s="14"/>
      <c r="G2" s="11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2" t="s">
        <v>334</v>
      </c>
      <c r="B3" s="113" t="s">
        <v>335</v>
      </c>
      <c r="C3" s="114"/>
      <c r="D3" s="4"/>
      <c r="E3" s="115" t="s">
        <v>336</v>
      </c>
      <c r="F3" s="116"/>
      <c r="G3" s="4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7" t="s">
        <v>337</v>
      </c>
      <c r="B4" s="118">
        <v>349500.0</v>
      </c>
      <c r="C4" s="114" t="s">
        <v>338</v>
      </c>
      <c r="D4" s="4"/>
      <c r="E4" s="119" t="s">
        <v>339</v>
      </c>
      <c r="F4" s="116"/>
      <c r="G4" s="4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7" t="s">
        <v>340</v>
      </c>
      <c r="B5" s="118">
        <v>151000.0</v>
      </c>
      <c r="C5" s="114" t="s">
        <v>341</v>
      </c>
      <c r="D5" s="4"/>
      <c r="E5" s="120" t="s">
        <v>342</v>
      </c>
      <c r="F5" s="121" t="s">
        <v>343</v>
      </c>
      <c r="G5" s="122">
        <f>132000+47000+59000+1500+110000</f>
        <v>349500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7"/>
      <c r="B6" s="118"/>
      <c r="C6" s="123" t="s">
        <v>344</v>
      </c>
      <c r="D6" s="4"/>
      <c r="E6" s="120" t="s">
        <v>345</v>
      </c>
      <c r="F6" s="121" t="s">
        <v>346</v>
      </c>
      <c r="G6" s="122">
        <f>146000+3000+2000</f>
        <v>151000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7" t="s">
        <v>347</v>
      </c>
      <c r="B7" s="124">
        <f>(B4/B5)</f>
        <v>2.314569536</v>
      </c>
      <c r="C7" s="123" t="s">
        <v>348</v>
      </c>
      <c r="D7" s="4"/>
      <c r="E7" s="120" t="s">
        <v>349</v>
      </c>
      <c r="F7" s="121" t="s">
        <v>350</v>
      </c>
      <c r="G7" s="125">
        <f>G5/G6</f>
        <v>2.314569536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6"/>
      <c r="B8" s="127"/>
      <c r="C8" s="126"/>
      <c r="D8" s="4"/>
      <c r="E8" s="120" t="s">
        <v>351</v>
      </c>
      <c r="F8" s="128" t="s">
        <v>352</v>
      </c>
      <c r="G8" s="129" t="s">
        <v>353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2" t="s">
        <v>354</v>
      </c>
      <c r="B9" s="130" t="s">
        <v>355</v>
      </c>
      <c r="C9" s="114"/>
      <c r="D9" s="4"/>
      <c r="E9" s="115" t="s">
        <v>354</v>
      </c>
      <c r="F9" s="116"/>
      <c r="G9" s="4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7" t="s">
        <v>356</v>
      </c>
      <c r="B10" s="131">
        <v>148000.0</v>
      </c>
      <c r="C10" s="114" t="s">
        <v>357</v>
      </c>
      <c r="D10" s="4"/>
      <c r="E10" s="119" t="s">
        <v>358</v>
      </c>
      <c r="F10" s="116"/>
      <c r="G10" s="4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17" t="s">
        <v>340</v>
      </c>
      <c r="B11" s="118">
        <f>B5</f>
        <v>151000</v>
      </c>
      <c r="C11" s="132" t="s">
        <v>359</v>
      </c>
      <c r="D11" s="4"/>
      <c r="E11" s="120" t="s">
        <v>360</v>
      </c>
      <c r="F11" s="121" t="s">
        <v>361</v>
      </c>
      <c r="G11" s="122">
        <f>349500-90000-110000-1500</f>
        <v>148000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17"/>
      <c r="B12" s="118"/>
      <c r="C12" s="123" t="s">
        <v>362</v>
      </c>
      <c r="D12" s="4"/>
      <c r="E12" s="120" t="str">
        <f t="shared" ref="E12:F12" si="1">E6</f>
        <v>Current Liabilities = Creditors+Outstanding Salary+Accured intrest</v>
      </c>
      <c r="F12" s="133" t="str">
        <f t="shared" si="1"/>
        <v>1,46,000+3,000+2,000</v>
      </c>
      <c r="G12" s="122">
        <f>146000+3000+2000</f>
        <v>151000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17" t="s">
        <v>363</v>
      </c>
      <c r="B13" s="124">
        <f>(B10/B11)</f>
        <v>0.9801324503</v>
      </c>
      <c r="C13" s="134" t="s">
        <v>364</v>
      </c>
      <c r="D13" s="4"/>
      <c r="E13" s="120" t="s">
        <v>355</v>
      </c>
      <c r="F13" s="133" t="s">
        <v>365</v>
      </c>
      <c r="G13" s="125">
        <f>G11/G12</f>
        <v>0.9801324503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6"/>
      <c r="B14" s="135"/>
      <c r="C14" s="126"/>
      <c r="D14" s="4"/>
      <c r="E14" s="120" t="s">
        <v>351</v>
      </c>
      <c r="F14" s="128" t="s">
        <v>366</v>
      </c>
      <c r="G14" s="129" t="s">
        <v>367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12" t="s">
        <v>368</v>
      </c>
      <c r="B15" s="136" t="s">
        <v>369</v>
      </c>
      <c r="C15" s="114"/>
      <c r="D15" s="4"/>
      <c r="E15" s="137" t="s">
        <v>368</v>
      </c>
      <c r="F15" s="116"/>
      <c r="G15" s="4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17" t="s">
        <v>370</v>
      </c>
      <c r="B16" s="118">
        <v>179000.0</v>
      </c>
      <c r="C16" s="114" t="s">
        <v>371</v>
      </c>
      <c r="D16" s="4"/>
      <c r="E16" s="115" t="s">
        <v>372</v>
      </c>
      <c r="F16" s="116"/>
      <c r="G16" s="4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17" t="s">
        <v>340</v>
      </c>
      <c r="B17" s="118">
        <f>B5</f>
        <v>151000</v>
      </c>
      <c r="C17" s="114" t="s">
        <v>373</v>
      </c>
      <c r="D17" s="4"/>
      <c r="E17" s="120" t="s">
        <v>374</v>
      </c>
      <c r="F17" s="121" t="s">
        <v>375</v>
      </c>
      <c r="G17" s="122">
        <f>132000+47000</f>
        <v>179000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17"/>
      <c r="B18" s="118"/>
      <c r="C18" s="114" t="s">
        <v>376</v>
      </c>
      <c r="D18" s="4"/>
      <c r="E18" s="120" t="str">
        <f t="shared" ref="E18:G18" si="2">E12</f>
        <v>Current Liabilities = Creditors+Outstanding Salary+Accured intrest</v>
      </c>
      <c r="F18" s="133" t="str">
        <f t="shared" si="2"/>
        <v>1,46,000+3,000+2,000</v>
      </c>
      <c r="G18" s="122">
        <f t="shared" si="2"/>
        <v>151000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17" t="s">
        <v>377</v>
      </c>
      <c r="B19" s="124">
        <f>(B16/B17)</f>
        <v>1.185430464</v>
      </c>
      <c r="C19" s="123" t="s">
        <v>378</v>
      </c>
      <c r="D19" s="4"/>
      <c r="E19" s="120" t="s">
        <v>379</v>
      </c>
      <c r="F19" s="121" t="s">
        <v>380</v>
      </c>
      <c r="G19" s="125">
        <f>G17/G18</f>
        <v>1.185430464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38"/>
      <c r="B20" s="135"/>
      <c r="C20" s="126"/>
      <c r="D20" s="4"/>
      <c r="E20" s="120" t="s">
        <v>351</v>
      </c>
      <c r="F20" s="128" t="s">
        <v>381</v>
      </c>
      <c r="G20" s="129" t="s">
        <v>382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39" t="s">
        <v>383</v>
      </c>
      <c r="B21" s="136" t="s">
        <v>384</v>
      </c>
      <c r="C21" s="114"/>
      <c r="D21" s="4"/>
      <c r="E21" s="115" t="s">
        <v>385</v>
      </c>
      <c r="F21" s="116"/>
      <c r="G21" s="4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17" t="s">
        <v>386</v>
      </c>
      <c r="B22" s="118">
        <v>251000.0</v>
      </c>
      <c r="C22" s="114" t="s">
        <v>387</v>
      </c>
      <c r="D22" s="4"/>
      <c r="E22" s="119" t="s">
        <v>388</v>
      </c>
      <c r="F22" s="116"/>
      <c r="G22" s="4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17" t="s">
        <v>389</v>
      </c>
      <c r="B23" s="118">
        <v>470729.0</v>
      </c>
      <c r="C23" s="114" t="s">
        <v>390</v>
      </c>
      <c r="D23" s="4"/>
      <c r="E23" s="140" t="s">
        <v>391</v>
      </c>
      <c r="F23" s="121" t="s">
        <v>392</v>
      </c>
      <c r="G23" s="122">
        <f>100000+21000+125000+3000+2000</f>
        <v>251000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17"/>
      <c r="B24" s="118"/>
      <c r="C24" s="114" t="s">
        <v>393</v>
      </c>
      <c r="D24" s="4"/>
      <c r="E24" s="120" t="s">
        <v>394</v>
      </c>
      <c r="F24" s="121" t="s">
        <v>395</v>
      </c>
      <c r="G24" s="122">
        <f>450000+32729-12000</f>
        <v>470729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17" t="s">
        <v>396</v>
      </c>
      <c r="B25" s="141">
        <f>(B22/B23)</f>
        <v>0.5332155019</v>
      </c>
      <c r="C25" s="123" t="s">
        <v>397</v>
      </c>
      <c r="D25" s="4"/>
      <c r="E25" s="120" t="s">
        <v>384</v>
      </c>
      <c r="F25" s="121" t="s">
        <v>398</v>
      </c>
      <c r="G25" s="142">
        <f>G23/G24</f>
        <v>0.5332155019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43"/>
      <c r="B26" s="127"/>
      <c r="C26" s="126"/>
      <c r="D26" s="4"/>
      <c r="E26" s="120" t="s">
        <v>351</v>
      </c>
      <c r="F26" s="128" t="s">
        <v>399</v>
      </c>
      <c r="G26" s="129" t="s">
        <v>400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12" t="s">
        <v>401</v>
      </c>
      <c r="B27" s="136" t="s">
        <v>402</v>
      </c>
      <c r="C27" s="114" t="s">
        <v>403</v>
      </c>
      <c r="D27" s="4"/>
      <c r="E27" s="115" t="s">
        <v>404</v>
      </c>
      <c r="F27" s="116"/>
      <c r="G27" s="4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17" t="s">
        <v>386</v>
      </c>
      <c r="B28" s="118">
        <f>B22</f>
        <v>251000</v>
      </c>
      <c r="C28" s="114" t="s">
        <v>405</v>
      </c>
      <c r="D28" s="4"/>
      <c r="E28" s="119" t="s">
        <v>406</v>
      </c>
      <c r="F28" s="116"/>
      <c r="G28" s="4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17" t="s">
        <v>407</v>
      </c>
      <c r="B29" s="118">
        <v>721729.0</v>
      </c>
      <c r="C29" s="114" t="s">
        <v>408</v>
      </c>
      <c r="D29" s="4"/>
      <c r="E29" s="120" t="s">
        <v>409</v>
      </c>
      <c r="F29" s="121" t="s">
        <v>392</v>
      </c>
      <c r="G29" s="122">
        <f>100000+21000+125000+3000+2000</f>
        <v>251000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17" t="s">
        <v>410</v>
      </c>
      <c r="B30" s="141">
        <f>(B28/B29)</f>
        <v>0.3477759658</v>
      </c>
      <c r="C30" s="114" t="s">
        <v>411</v>
      </c>
      <c r="D30" s="4"/>
      <c r="E30" s="140" t="s">
        <v>412</v>
      </c>
      <c r="F30" s="144" t="s">
        <v>413</v>
      </c>
      <c r="G30" s="145">
        <f>39667+84646+198333+49583+132000+47000+4000+55000+1500+110000</f>
        <v>721729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26"/>
      <c r="B31" s="127"/>
      <c r="C31" s="126"/>
      <c r="D31" s="4"/>
      <c r="E31" s="120" t="s">
        <v>414</v>
      </c>
      <c r="F31" s="133" t="s">
        <v>415</v>
      </c>
      <c r="G31" s="142">
        <f>G29/G30</f>
        <v>0.3477759658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12" t="s">
        <v>416</v>
      </c>
      <c r="B32" s="136" t="s">
        <v>417</v>
      </c>
      <c r="C32" s="114" t="s">
        <v>418</v>
      </c>
      <c r="D32" s="4"/>
      <c r="E32" s="120" t="s">
        <v>351</v>
      </c>
      <c r="F32" s="128" t="s">
        <v>419</v>
      </c>
      <c r="G32" s="129" t="s">
        <v>420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17" t="s">
        <v>421</v>
      </c>
      <c r="B33" s="118">
        <v>345000.0</v>
      </c>
      <c r="C33" s="114" t="s">
        <v>422</v>
      </c>
      <c r="D33" s="4"/>
      <c r="E33" s="115" t="s">
        <v>423</v>
      </c>
      <c r="F33" s="116"/>
      <c r="G33" s="4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17" t="s">
        <v>407</v>
      </c>
      <c r="B34" s="118">
        <f>B29</f>
        <v>721729</v>
      </c>
      <c r="C34" s="114" t="s">
        <v>424</v>
      </c>
      <c r="D34" s="4"/>
      <c r="E34" s="119" t="s">
        <v>425</v>
      </c>
      <c r="F34" s="116"/>
      <c r="G34" s="4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17" t="s">
        <v>426</v>
      </c>
      <c r="B35" s="146">
        <f>B33/B34</f>
        <v>0.4780187577</v>
      </c>
      <c r="C35" s="114" t="s">
        <v>427</v>
      </c>
      <c r="D35" s="4"/>
      <c r="E35" s="120" t="s">
        <v>428</v>
      </c>
      <c r="F35" s="121" t="s">
        <v>429</v>
      </c>
      <c r="G35" s="122">
        <f>355000-10000</f>
        <v>345000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38"/>
      <c r="B36" s="127"/>
      <c r="C36" s="126"/>
      <c r="D36" s="4"/>
      <c r="E36" s="140" t="str">
        <f t="shared" ref="E36:G36" si="3">E30</f>
        <v>Computer+Furniture+Machinery+Office equipment+Cash+Bank+Manoj stores+Deepa Stores+Prepaid inscurance+Closing stock.</v>
      </c>
      <c r="F36" s="144" t="str">
        <f t="shared" si="3"/>
        <v>39,667+84,646+1,98,333+49,583+1,32,000+47,000+4,000+55,000+1,500+1,10,000</v>
      </c>
      <c r="G36" s="145">
        <f t="shared" si="3"/>
        <v>721729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12" t="s">
        <v>430</v>
      </c>
      <c r="B37" s="136" t="s">
        <v>431</v>
      </c>
      <c r="C37" s="114"/>
      <c r="D37" s="4"/>
      <c r="E37" s="120" t="s">
        <v>432</v>
      </c>
      <c r="F37" s="133" t="s">
        <v>433</v>
      </c>
      <c r="G37" s="147">
        <f>G35/G36</f>
        <v>0.4780187577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17" t="s">
        <v>434</v>
      </c>
      <c r="B38" s="131">
        <v>247500.0</v>
      </c>
      <c r="C38" s="114" t="s">
        <v>435</v>
      </c>
      <c r="D38" s="4"/>
      <c r="E38" s="120" t="s">
        <v>351</v>
      </c>
      <c r="F38" s="128" t="s">
        <v>436</v>
      </c>
      <c r="G38" s="129" t="s">
        <v>437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17" t="s">
        <v>438</v>
      </c>
      <c r="B39" s="118">
        <v>100000.0</v>
      </c>
      <c r="C39" s="132" t="s">
        <v>439</v>
      </c>
      <c r="D39" s="4"/>
      <c r="E39" s="115" t="s">
        <v>440</v>
      </c>
      <c r="F39" s="116"/>
      <c r="G39" s="4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17"/>
      <c r="B40" s="118"/>
      <c r="C40" s="123" t="s">
        <v>441</v>
      </c>
      <c r="D40" s="4"/>
      <c r="E40" s="119" t="s">
        <v>442</v>
      </c>
      <c r="F40" s="116"/>
      <c r="G40" s="4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17" t="s">
        <v>443</v>
      </c>
      <c r="B41" s="124">
        <f>B38/B39</f>
        <v>2.475</v>
      </c>
      <c r="C41" s="114" t="s">
        <v>444</v>
      </c>
      <c r="D41" s="4"/>
      <c r="E41" s="140" t="s">
        <v>445</v>
      </c>
      <c r="F41" s="121" t="s">
        <v>446</v>
      </c>
      <c r="G41" s="122">
        <f>90000+260000-12000+15000+4500-110000</f>
        <v>247500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26"/>
      <c r="B42" s="127"/>
      <c r="C42" s="126"/>
      <c r="D42" s="4"/>
      <c r="E42" s="120" t="s">
        <v>447</v>
      </c>
      <c r="F42" s="121" t="s">
        <v>448</v>
      </c>
      <c r="G42" s="122">
        <f>sum(90000+110000)/2</f>
        <v>100000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12" t="s">
        <v>449</v>
      </c>
      <c r="B43" s="136" t="s">
        <v>450</v>
      </c>
      <c r="C43" s="114"/>
      <c r="D43" s="4"/>
      <c r="E43" s="120" t="s">
        <v>451</v>
      </c>
      <c r="F43" s="133" t="s">
        <v>452</v>
      </c>
      <c r="G43" s="125">
        <f>G41/G42</f>
        <v>2.475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17" t="s">
        <v>453</v>
      </c>
      <c r="B44" s="118">
        <f>B33</f>
        <v>345000</v>
      </c>
      <c r="C44" s="114" t="s">
        <v>454</v>
      </c>
      <c r="D44" s="4"/>
      <c r="E44" s="120" t="s">
        <v>351</v>
      </c>
      <c r="F44" s="128" t="s">
        <v>455</v>
      </c>
      <c r="G44" s="129" t="s">
        <v>456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17" t="s">
        <v>457</v>
      </c>
      <c r="B45" s="118">
        <f>(B4-B5)</f>
        <v>198500</v>
      </c>
      <c r="C45" s="114" t="s">
        <v>458</v>
      </c>
      <c r="D45" s="4"/>
      <c r="E45" s="115" t="s">
        <v>449</v>
      </c>
      <c r="F45" s="116"/>
      <c r="G45" s="4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17"/>
      <c r="B46" s="118"/>
      <c r="C46" s="114" t="s">
        <v>459</v>
      </c>
      <c r="D46" s="4"/>
      <c r="E46" s="119" t="s">
        <v>460</v>
      </c>
      <c r="F46" s="116"/>
      <c r="G46" s="4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48" t="s">
        <v>461</v>
      </c>
      <c r="B47" s="149">
        <f>B44/B45</f>
        <v>1.738035264</v>
      </c>
      <c r="C47" s="150" t="s">
        <v>462</v>
      </c>
      <c r="D47" s="4"/>
      <c r="E47" s="120" t="s">
        <v>428</v>
      </c>
      <c r="F47" s="133" t="str">
        <f>F35</f>
        <v>3,55,000 - 10,000</v>
      </c>
      <c r="G47" s="122">
        <f>355000-10000</f>
        <v>345000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120" t="s">
        <v>463</v>
      </c>
      <c r="F48" s="121" t="s">
        <v>464</v>
      </c>
      <c r="G48" s="122">
        <f>G5-G6</f>
        <v>198500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120" t="s">
        <v>450</v>
      </c>
      <c r="F49" s="133" t="s">
        <v>465</v>
      </c>
      <c r="G49" s="147">
        <f>G47/G48</f>
        <v>1.738035264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120" t="s">
        <v>351</v>
      </c>
      <c r="F50" s="128" t="s">
        <v>466</v>
      </c>
      <c r="G50" s="129" t="s">
        <v>467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151"/>
      <c r="F51" s="151"/>
      <c r="G51" s="15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">
    <mergeCell ref="A1:B1"/>
    <mergeCell ref="E1:G2"/>
    <mergeCell ref="A2:B2"/>
    <mergeCell ref="E3:G3"/>
    <mergeCell ref="E4:G4"/>
    <mergeCell ref="E9:G9"/>
    <mergeCell ref="E10:G10"/>
    <mergeCell ref="E34:G34"/>
    <mergeCell ref="E39:G39"/>
    <mergeCell ref="E40:G40"/>
    <mergeCell ref="E45:G45"/>
    <mergeCell ref="E46:G46"/>
    <mergeCell ref="E15:G15"/>
    <mergeCell ref="E16:G16"/>
    <mergeCell ref="E21:G21"/>
    <mergeCell ref="E22:G22"/>
    <mergeCell ref="E27:G27"/>
    <mergeCell ref="E28:G28"/>
    <mergeCell ref="E33:G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2026-10-09T04:06:52Z</dcterms:created>
  <dc:creator>Maha Raja</dc:creator>
</cp:coreProperties>
</file>